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C:\Users\user02\Desktop\"/>
    </mc:Choice>
  </mc:AlternateContent>
  <xr:revisionPtr revIDLastSave="0" documentId="13_ncr:1_{3F6604DB-BCA8-4D6C-B73B-186BF5E32018}" xr6:coauthVersionLast="45" xr6:coauthVersionMax="45" xr10:uidLastSave="{00000000-0000-0000-0000-000000000000}"/>
  <bookViews>
    <workbookView xWindow="-16200" yWindow="2595" windowWidth="15990" windowHeight="23475" xr2:uid="{00000000-000D-0000-FFFF-FFFF00000000}"/>
  </bookViews>
  <sheets>
    <sheet name="ﾃﾝﾌﾟﾚｰﾄ" sheetId="7" r:id="rId1"/>
    <sheet name="作文結果" sheetId="9" r:id="rId2"/>
    <sheet name="計算ワーク" sheetId="8" state="hidden" r:id="rId3"/>
    <sheet name="ｸﾞﾗﾌﾜｰｸ" sheetId="10" r:id="rId4"/>
  </sheets>
  <functionGroups builtInGroupCount="19"/>
  <externalReferences>
    <externalReference r:id="rId5"/>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44" i="8" l="1"/>
  <c r="C21" i="8" l="1"/>
  <c r="D53" i="7" l="1"/>
  <c r="D15" i="7"/>
  <c r="D52" i="7"/>
  <c r="D14" i="7"/>
  <c r="D32" i="7"/>
  <c r="F32" i="7" l="1"/>
  <c r="E9" i="7"/>
  <c r="I8" i="7" l="1"/>
  <c r="I11" i="7" s="1"/>
  <c r="D17" i="7" s="1"/>
  <c r="I6" i="7"/>
  <c r="I15" i="7" l="1"/>
  <c r="M15" i="7" s="1"/>
  <c r="M11" i="7"/>
  <c r="I19" i="7" l="1"/>
  <c r="M19" i="7" s="1"/>
  <c r="M56" i="7"/>
  <c r="U56" i="7" s="1"/>
  <c r="Q56" i="7"/>
  <c r="Q18" i="7"/>
  <c r="M18" i="7"/>
  <c r="U18" i="7" s="1"/>
  <c r="D20" i="7" l="1"/>
  <c r="D5" i="7"/>
  <c r="I31" i="7"/>
  <c r="D23" i="7" l="1"/>
  <c r="H55" i="8"/>
  <c r="G55" i="8"/>
  <c r="F55" i="8"/>
  <c r="E55" i="8"/>
  <c r="D55" i="8"/>
  <c r="D63" i="8"/>
  <c r="H98" i="7" l="1"/>
  <c r="G98" i="7"/>
  <c r="F98" i="7"/>
  <c r="E98" i="7"/>
  <c r="D98" i="7"/>
  <c r="C147" i="8"/>
  <c r="D42" i="8"/>
  <c r="F45" i="8" s="1"/>
  <c r="B28" i="8"/>
  <c r="B24" i="8"/>
  <c r="C16" i="8"/>
  <c r="C164" i="8" s="1"/>
  <c r="C184" i="8" s="1"/>
  <c r="C77" i="7" s="1"/>
  <c r="B88" i="8"/>
  <c r="E88" i="8" s="1"/>
  <c r="B87" i="8"/>
  <c r="E87" i="8" s="1"/>
  <c r="B86" i="8"/>
  <c r="E86" i="8" s="1"/>
  <c r="C214" i="8"/>
  <c r="E93" i="8"/>
  <c r="E92" i="8"/>
  <c r="E91" i="8"/>
  <c r="E90" i="8"/>
  <c r="F90" i="8" s="1"/>
  <c r="E89" i="8"/>
  <c r="F89" i="8" s="1"/>
  <c r="C155" i="8" l="1"/>
  <c r="D147" i="8"/>
  <c r="E147" i="8" s="1"/>
  <c r="F147" i="8" s="1"/>
  <c r="E94" i="8"/>
  <c r="G45" i="8"/>
  <c r="E45" i="8"/>
  <c r="D45" i="8"/>
  <c r="D16" i="8" s="1"/>
  <c r="H45" i="8"/>
  <c r="B95" i="8"/>
  <c r="B16" i="8"/>
  <c r="C105" i="8"/>
  <c r="B112" i="8"/>
  <c r="C222" i="8"/>
  <c r="C223" i="8" s="1"/>
  <c r="F231" i="8" s="1"/>
  <c r="G90" i="8"/>
  <c r="H90" i="8" s="1"/>
  <c r="I90" i="8" s="1"/>
  <c r="F88" i="8"/>
  <c r="G88" i="8" s="1"/>
  <c r="H88" i="8" s="1"/>
  <c r="G89" i="8"/>
  <c r="C149" i="8"/>
  <c r="F87" i="8"/>
  <c r="G87" i="8" s="1"/>
  <c r="F93" i="8"/>
  <c r="G93" i="8" s="1"/>
  <c r="F92" i="8"/>
  <c r="C154" i="8"/>
  <c r="F86" i="8"/>
  <c r="F91" i="8"/>
  <c r="C178" i="8"/>
  <c r="D31" i="8" l="1"/>
  <c r="C235" i="8"/>
  <c r="B21" i="8"/>
  <c r="H86" i="8"/>
  <c r="F94" i="8"/>
  <c r="F95" i="8" s="1"/>
  <c r="C27" i="8"/>
  <c r="B27" i="8" s="1"/>
  <c r="E16" i="8"/>
  <c r="E164" i="8" s="1"/>
  <c r="D24" i="8"/>
  <c r="B113" i="8"/>
  <c r="B114" i="8" s="1"/>
  <c r="D164" i="8"/>
  <c r="D184" i="8" s="1"/>
  <c r="D77" i="7" s="1"/>
  <c r="B105" i="8"/>
  <c r="D17" i="8"/>
  <c r="D231" i="8"/>
  <c r="G231" i="8"/>
  <c r="E231" i="8"/>
  <c r="H231" i="8"/>
  <c r="I88" i="8"/>
  <c r="H93" i="8"/>
  <c r="I93" i="8" s="1"/>
  <c r="H89" i="8"/>
  <c r="I89" i="8" s="1"/>
  <c r="H87" i="8"/>
  <c r="I87" i="8" s="1"/>
  <c r="G92" i="8"/>
  <c r="H92" i="8" s="1"/>
  <c r="I92" i="8" s="1"/>
  <c r="G91" i="8"/>
  <c r="G94" i="8" s="1"/>
  <c r="G95" i="8" s="1"/>
  <c r="M36" i="7"/>
  <c r="L32" i="7"/>
  <c r="C102" i="7" l="1"/>
  <c r="L34" i="7"/>
  <c r="E17" i="8"/>
  <c r="F16" i="8"/>
  <c r="F17" i="8" s="1"/>
  <c r="I86" i="8"/>
  <c r="C179" i="8"/>
  <c r="D179" i="8" s="1"/>
  <c r="E179" i="8" s="1"/>
  <c r="F179" i="8" s="1"/>
  <c r="G179" i="8" s="1"/>
  <c r="H179" i="8" s="1"/>
  <c r="E24" i="8"/>
  <c r="E184" i="8"/>
  <c r="E77" i="7" s="1"/>
  <c r="F28" i="8"/>
  <c r="F95" i="7" s="1"/>
  <c r="H91" i="8"/>
  <c r="H94" i="8" s="1"/>
  <c r="H95" i="8" s="1"/>
  <c r="E28" i="8"/>
  <c r="L36" i="7" l="1"/>
  <c r="E95" i="8" s="1"/>
  <c r="D28" i="8" s="1"/>
  <c r="F228" i="8"/>
  <c r="F229" i="8" s="1"/>
  <c r="F233" i="8" s="1"/>
  <c r="F96" i="7"/>
  <c r="F100" i="7" s="1"/>
  <c r="E228" i="8"/>
  <c r="E229" i="8" s="1"/>
  <c r="E233" i="8" s="1"/>
  <c r="E95" i="7"/>
  <c r="G16" i="8"/>
  <c r="H16" i="8" s="1"/>
  <c r="F24" i="8"/>
  <c r="F164" i="8"/>
  <c r="F184" i="8" s="1"/>
  <c r="G77" i="7" s="1"/>
  <c r="G28" i="8"/>
  <c r="I91" i="8"/>
  <c r="I94" i="8" s="1"/>
  <c r="I95" i="8" s="1"/>
  <c r="I32" i="7"/>
  <c r="D44" i="7"/>
  <c r="D40" i="7"/>
  <c r="D42" i="7" s="1"/>
  <c r="H164" i="8" l="1"/>
  <c r="H184" i="8" s="1"/>
  <c r="I77" i="7" s="1"/>
  <c r="H17" i="8"/>
  <c r="D41" i="7"/>
  <c r="I47" i="7"/>
  <c r="I50" i="7" s="1"/>
  <c r="I46" i="7"/>
  <c r="I49" i="7" s="1"/>
  <c r="I44" i="7"/>
  <c r="D228" i="8"/>
  <c r="D229" i="8" s="1"/>
  <c r="D233" i="8" s="1"/>
  <c r="D95" i="7"/>
  <c r="D96" i="7" s="1"/>
  <c r="D100" i="7" s="1"/>
  <c r="E96" i="7"/>
  <c r="E100" i="7" s="1"/>
  <c r="G228" i="8"/>
  <c r="G229" i="8" s="1"/>
  <c r="G233" i="8" s="1"/>
  <c r="G95" i="7"/>
  <c r="G96" i="7" s="1"/>
  <c r="G100" i="7" s="1"/>
  <c r="G17" i="8"/>
  <c r="G164" i="8"/>
  <c r="G184" i="8" s="1"/>
  <c r="H77" i="7" s="1"/>
  <c r="H24" i="8"/>
  <c r="G24" i="8"/>
  <c r="H28" i="8"/>
  <c r="J95" i="8"/>
  <c r="E47" i="7"/>
  <c r="Q45" i="7"/>
  <c r="Q44" i="7"/>
  <c r="Q7" i="7"/>
  <c r="Q6" i="7"/>
  <c r="D149" i="8" l="1"/>
  <c r="E149" i="8" s="1"/>
  <c r="F149" i="8" s="1"/>
  <c r="D144" i="8"/>
  <c r="D155" i="8" s="1"/>
  <c r="E155" i="8" s="1"/>
  <c r="F155" i="8" s="1"/>
  <c r="D55" i="7"/>
  <c r="D43" i="7"/>
  <c r="D56" i="7"/>
  <c r="D59" i="7"/>
  <c r="D64" i="8"/>
  <c r="D66" i="8" s="1"/>
  <c r="D21" i="8" s="1"/>
  <c r="E10" i="7"/>
  <c r="I9" i="7"/>
  <c r="I12" i="7" s="1"/>
  <c r="D21" i="7" s="1"/>
  <c r="D58" i="7"/>
  <c r="M49" i="7"/>
  <c r="I53" i="7"/>
  <c r="M50" i="7"/>
  <c r="I54" i="7"/>
  <c r="H228" i="8"/>
  <c r="H229" i="8" s="1"/>
  <c r="H233" i="8" s="1"/>
  <c r="C233" i="8" s="1"/>
  <c r="H95" i="7"/>
  <c r="H96" i="7" s="1"/>
  <c r="H100" i="7" s="1"/>
  <c r="C100" i="7" s="1"/>
  <c r="E48" i="7"/>
  <c r="D154" i="8" l="1"/>
  <c r="E154" i="8" s="1"/>
  <c r="F154" i="8" s="1"/>
  <c r="E66" i="8"/>
  <c r="E21" i="8" s="1"/>
  <c r="H66" i="8"/>
  <c r="F66" i="8"/>
  <c r="G66" i="8"/>
  <c r="D18" i="7"/>
  <c r="M12" i="7"/>
  <c r="I16" i="7"/>
  <c r="I58" i="7"/>
  <c r="M58" i="7" s="1"/>
  <c r="M54" i="7"/>
  <c r="I57" i="7"/>
  <c r="M57" i="7" s="1"/>
  <c r="M53" i="7"/>
  <c r="D62" i="7"/>
  <c r="S45" i="7" s="1"/>
  <c r="U45" i="7" s="1"/>
  <c r="Q50" i="7" s="1"/>
  <c r="D61" i="7"/>
  <c r="F21" i="8" l="1"/>
  <c r="G21" i="8" s="1"/>
  <c r="H21" i="8" s="1"/>
  <c r="D27" i="8"/>
  <c r="E27" i="8" s="1"/>
  <c r="F27" i="8" s="1"/>
  <c r="G27" i="8" s="1"/>
  <c r="H27" i="8" s="1"/>
  <c r="D178" i="8"/>
  <c r="I20" i="7"/>
  <c r="M20" i="7" s="1"/>
  <c r="M16" i="7"/>
  <c r="S44" i="7"/>
  <c r="U44" i="7" s="1"/>
  <c r="Q49" i="7" s="1"/>
  <c r="Q54" i="7"/>
  <c r="U50" i="7"/>
  <c r="S6" i="7"/>
  <c r="U6" i="7" s="1"/>
  <c r="Q11" i="7" s="1"/>
  <c r="C18" i="8"/>
  <c r="C20" i="8" s="1"/>
  <c r="C22" i="8" s="1"/>
  <c r="C25" i="8" s="1"/>
  <c r="E178" i="8" l="1"/>
  <c r="U49" i="7"/>
  <c r="Q53" i="7"/>
  <c r="U53" i="7" s="1"/>
  <c r="U54" i="7"/>
  <c r="Q58" i="7"/>
  <c r="U58" i="7" s="1"/>
  <c r="U11" i="7"/>
  <c r="Q15" i="7"/>
  <c r="U15" i="7" s="1"/>
  <c r="D24" i="7"/>
  <c r="S7" i="7" s="1"/>
  <c r="U7" i="7" s="1"/>
  <c r="Q12" i="7" s="1"/>
  <c r="C165" i="8"/>
  <c r="C166" i="8" s="1"/>
  <c r="D166" i="8" s="1"/>
  <c r="C19" i="8"/>
  <c r="C55" i="8"/>
  <c r="B18" i="8"/>
  <c r="B19" i="8" s="1"/>
  <c r="C29" i="8"/>
  <c r="C148" i="8" s="1"/>
  <c r="C36" i="8"/>
  <c r="C37" i="8"/>
  <c r="F178" i="8" l="1"/>
  <c r="Q57" i="7"/>
  <c r="U57" i="7" s="1"/>
  <c r="Q19" i="7"/>
  <c r="U19" i="7" s="1"/>
  <c r="U12" i="7"/>
  <c r="Q16" i="7"/>
  <c r="C169" i="8"/>
  <c r="C174" i="8" s="1"/>
  <c r="C167" i="8"/>
  <c r="C168" i="8" s="1"/>
  <c r="B20" i="8"/>
  <c r="B22" i="8" s="1"/>
  <c r="B29" i="8" s="1"/>
  <c r="B55" i="8"/>
  <c r="B56" i="8" s="1"/>
  <c r="D56" i="8" s="1"/>
  <c r="D18" i="8" s="1"/>
  <c r="C203" i="8"/>
  <c r="C202" i="8"/>
  <c r="C73" i="7" s="1"/>
  <c r="E166" i="8"/>
  <c r="D165" i="8"/>
  <c r="D167" i="8" s="1"/>
  <c r="D168" i="8" s="1"/>
  <c r="H178" i="8" l="1"/>
  <c r="G178" i="8"/>
  <c r="Q20" i="7"/>
  <c r="U20" i="7" s="1"/>
  <c r="U16" i="7"/>
  <c r="C170" i="8"/>
  <c r="C150" i="8"/>
  <c r="C171" i="8"/>
  <c r="C172" i="8" s="1"/>
  <c r="E56" i="8"/>
  <c r="F56" i="8" s="1"/>
  <c r="B25" i="8"/>
  <c r="F166" i="8"/>
  <c r="E165" i="8"/>
  <c r="E167" i="8" s="1"/>
  <c r="C185" i="8"/>
  <c r="C78" i="7" s="1"/>
  <c r="C175" i="8"/>
  <c r="C186" i="8" s="1"/>
  <c r="C79" i="7" s="1"/>
  <c r="D19" i="8"/>
  <c r="D20" i="8"/>
  <c r="D22" i="8" s="1"/>
  <c r="D93" i="7" s="1"/>
  <c r="D94" i="7" s="1"/>
  <c r="D169" i="8"/>
  <c r="C152" i="8"/>
  <c r="C153" i="8"/>
  <c r="C151" i="8" l="1"/>
  <c r="E18" i="8"/>
  <c r="E20" i="8" s="1"/>
  <c r="E22" i="8" s="1"/>
  <c r="E93" i="7" s="1"/>
  <c r="E94" i="7" s="1"/>
  <c r="D97" i="7"/>
  <c r="D99" i="7"/>
  <c r="D226" i="8"/>
  <c r="D29" i="8"/>
  <c r="D30" i="8" s="1"/>
  <c r="D23" i="8"/>
  <c r="D36" i="8"/>
  <c r="D25" i="8"/>
  <c r="D26" i="8" s="1"/>
  <c r="G56" i="8"/>
  <c r="F18" i="8"/>
  <c r="E168" i="8"/>
  <c r="D171" i="8"/>
  <c r="D172" i="8" s="1"/>
  <c r="D170" i="8"/>
  <c r="D174" i="8"/>
  <c r="G166" i="8"/>
  <c r="F165" i="8"/>
  <c r="F167" i="8" s="1"/>
  <c r="E19" i="8" l="1"/>
  <c r="E169" i="8"/>
  <c r="E174" i="8" s="1"/>
  <c r="E99" i="7"/>
  <c r="E101" i="7" s="1"/>
  <c r="E97" i="7"/>
  <c r="D101" i="7"/>
  <c r="D227" i="8"/>
  <c r="E25" i="8"/>
  <c r="E23" i="8"/>
  <c r="E226" i="8"/>
  <c r="E227" i="8" s="1"/>
  <c r="E29" i="8"/>
  <c r="E30" i="8" s="1"/>
  <c r="E36" i="8"/>
  <c r="F168" i="8"/>
  <c r="D37" i="8"/>
  <c r="H166" i="8"/>
  <c r="H165" i="8" s="1"/>
  <c r="H167" i="8" s="1"/>
  <c r="G165" i="8"/>
  <c r="G167" i="8" s="1"/>
  <c r="G168" i="8" s="1"/>
  <c r="F20" i="8"/>
  <c r="F22" i="8" s="1"/>
  <c r="F93" i="7" s="1"/>
  <c r="F94" i="7" s="1"/>
  <c r="F19" i="8"/>
  <c r="F169" i="8"/>
  <c r="D185" i="8"/>
  <c r="D78" i="7" s="1"/>
  <c r="D175" i="8"/>
  <c r="D186" i="8" s="1"/>
  <c r="D79" i="7" s="1"/>
  <c r="H56" i="8"/>
  <c r="H18" i="8" s="1"/>
  <c r="G18" i="8"/>
  <c r="H169" i="8" l="1"/>
  <c r="H174" i="8" s="1"/>
  <c r="E171" i="8"/>
  <c r="E172" i="8" s="1"/>
  <c r="E170" i="8"/>
  <c r="F97" i="7"/>
  <c r="F99" i="7"/>
  <c r="F101" i="7" s="1"/>
  <c r="E232" i="8"/>
  <c r="E234" i="8" s="1"/>
  <c r="E230" i="8"/>
  <c r="H20" i="8"/>
  <c r="H22" i="8" s="1"/>
  <c r="H93" i="7" s="1"/>
  <c r="H94" i="7" s="1"/>
  <c r="H19" i="8"/>
  <c r="E185" i="8"/>
  <c r="E78" i="7" s="1"/>
  <c r="E175" i="8"/>
  <c r="E186" i="8" s="1"/>
  <c r="E79" i="7" s="1"/>
  <c r="F170" i="8"/>
  <c r="F174" i="8"/>
  <c r="F171" i="8"/>
  <c r="F172" i="8" s="1"/>
  <c r="E37" i="8"/>
  <c r="E26" i="8"/>
  <c r="G19" i="8"/>
  <c r="G20" i="8"/>
  <c r="G22" i="8" s="1"/>
  <c r="G93" i="7" s="1"/>
  <c r="G94" i="7" s="1"/>
  <c r="G169" i="8"/>
  <c r="F226" i="8"/>
  <c r="F227" i="8" s="1"/>
  <c r="F29" i="8"/>
  <c r="F30" i="8" s="1"/>
  <c r="F23" i="8"/>
  <c r="F25" i="8"/>
  <c r="F36" i="8"/>
  <c r="H168" i="8"/>
  <c r="D150" i="8"/>
  <c r="E150" i="8" s="1"/>
  <c r="F150" i="8" s="1"/>
  <c r="D232" i="8"/>
  <c r="D230" i="8"/>
  <c r="H171" i="8" l="1"/>
  <c r="H97" i="7"/>
  <c r="H99" i="7"/>
  <c r="H101" i="7" s="1"/>
  <c r="G97" i="7"/>
  <c r="G99" i="7"/>
  <c r="G101" i="7" s="1"/>
  <c r="F26" i="8"/>
  <c r="F37" i="8"/>
  <c r="D234" i="8"/>
  <c r="F232" i="8"/>
  <c r="F234" i="8" s="1"/>
  <c r="F230" i="8"/>
  <c r="H170" i="8"/>
  <c r="G171" i="8"/>
  <c r="G172" i="8" s="1"/>
  <c r="G174" i="8"/>
  <c r="G170" i="8"/>
  <c r="F185" i="8"/>
  <c r="G78" i="7" s="1"/>
  <c r="F175" i="8"/>
  <c r="F186" i="8" s="1"/>
  <c r="G79" i="7" s="1"/>
  <c r="G32" i="8"/>
  <c r="G25" i="8"/>
  <c r="G226" i="8"/>
  <c r="G36" i="8"/>
  <c r="G29" i="8"/>
  <c r="G30" i="8" s="1"/>
  <c r="G23" i="8"/>
  <c r="H23" i="8"/>
  <c r="H29" i="8"/>
  <c r="D202" i="8" s="1"/>
  <c r="H36" i="8"/>
  <c r="H226" i="8"/>
  <c r="H227" i="8" s="1"/>
  <c r="H25" i="8"/>
  <c r="H26" i="8" s="1"/>
  <c r="D124" i="8" l="1"/>
  <c r="E124" i="8" s="1"/>
  <c r="C99" i="7"/>
  <c r="C101" i="7"/>
  <c r="C83" i="7" s="1"/>
  <c r="F27" i="7" s="1"/>
  <c r="G227" i="8"/>
  <c r="I226" i="8"/>
  <c r="G185" i="8"/>
  <c r="H78" i="7" s="1"/>
  <c r="G175" i="8"/>
  <c r="G186" i="8" s="1"/>
  <c r="H79" i="7" s="1"/>
  <c r="H30" i="8"/>
  <c r="D123" i="8" s="1"/>
  <c r="D69" i="7" s="1"/>
  <c r="D203" i="8"/>
  <c r="E203" i="8" s="1"/>
  <c r="F203" i="8" s="1"/>
  <c r="D148" i="8"/>
  <c r="G37" i="8"/>
  <c r="G26" i="8"/>
  <c r="H230" i="8"/>
  <c r="H232" i="8"/>
  <c r="H234" i="8" s="1"/>
  <c r="H185" i="8"/>
  <c r="I78" i="7" s="1"/>
  <c r="H175" i="8"/>
  <c r="H186" i="8" s="1"/>
  <c r="I79" i="7" s="1"/>
  <c r="H37" i="8"/>
  <c r="D122" i="8"/>
  <c r="D68" i="7" s="1"/>
  <c r="D35" i="7" s="1"/>
  <c r="D151" i="8"/>
  <c r="E151" i="8" s="1"/>
  <c r="F151" i="8" s="1"/>
  <c r="H172" i="8"/>
  <c r="E202" i="8" l="1"/>
  <c r="D73" i="7"/>
  <c r="E148" i="8"/>
  <c r="F148" i="8" s="1"/>
  <c r="D152" i="8"/>
  <c r="E152" i="8" s="1"/>
  <c r="F152" i="8" s="1"/>
  <c r="D153" i="8"/>
  <c r="E153" i="8" s="1"/>
  <c r="F153" i="8" s="1"/>
  <c r="G230" i="8"/>
  <c r="I230" i="8" s="1"/>
  <c r="G232" i="8"/>
  <c r="I227" i="8"/>
  <c r="E122" i="8"/>
  <c r="G68" i="7" s="1"/>
  <c r="F35" i="7" s="1"/>
  <c r="E123" i="8"/>
  <c r="G69" i="7" s="1"/>
  <c r="F36" i="7" s="1"/>
  <c r="D36" i="7"/>
  <c r="E73" i="7" l="1"/>
  <c r="D37" i="7" s="1"/>
  <c r="F202" i="8"/>
  <c r="G73" i="7" s="1"/>
  <c r="F37" i="7" s="1"/>
  <c r="G234" i="8"/>
  <c r="C234" i="8" s="1"/>
  <c r="E240" i="8" s="1"/>
  <c r="C2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user02</author>
  </authors>
  <commentList>
    <comment ref="D3" authorId="0" shapeId="0" xr:uid="{00000000-0006-0000-0000-000001000000}">
      <text>
        <r>
          <rPr>
            <b/>
            <sz val="9"/>
            <color indexed="81"/>
            <rFont val="MS P ゴシック"/>
            <family val="3"/>
            <charset val="128"/>
          </rPr>
          <t>製造原価報告書の労務費を入力</t>
        </r>
      </text>
    </comment>
    <comment ref="D4" authorId="0" shapeId="0" xr:uid="{00000000-0006-0000-0000-000002000000}">
      <text>
        <r>
          <rPr>
            <b/>
            <sz val="9"/>
            <color indexed="81"/>
            <rFont val="MS P ゴシック"/>
            <family val="3"/>
            <charset val="128"/>
          </rPr>
          <t>販管費一覧から人件費を足して入力
※役員報酬＋給料＋雑給＋福利厚生費＋法定福利費</t>
        </r>
      </text>
    </comment>
    <comment ref="L73" authorId="0" shapeId="0" xr:uid="{00000000-0006-0000-0000-000003000000}">
      <text>
        <r>
          <rPr>
            <b/>
            <sz val="9"/>
            <color indexed="81"/>
            <rFont val="MS P ゴシック"/>
            <family val="3"/>
            <charset val="128"/>
          </rPr>
          <t>有形固定資産額を記入</t>
        </r>
      </text>
    </comment>
    <comment ref="C88" authorId="0" shapeId="0" xr:uid="{00000000-0006-0000-0000-000004000000}">
      <text>
        <r>
          <rPr>
            <b/>
            <sz val="9"/>
            <color indexed="81"/>
            <rFont val="MS P ゴシック"/>
            <family val="3"/>
            <charset val="128"/>
          </rPr>
          <t>３０～４０％程度</t>
        </r>
      </text>
    </comment>
    <comment ref="C89" authorId="0" shapeId="0" xr:uid="{00000000-0006-0000-0000-000005000000}">
      <text>
        <r>
          <rPr>
            <b/>
            <sz val="9"/>
            <color indexed="81"/>
            <rFont val="MS P ゴシック"/>
            <family val="3"/>
            <charset val="128"/>
          </rPr>
          <t>５～１２％で設定。大きな企業ほど値を小さくする。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113" authorId="0" shapeId="0" xr:uid="{00000000-0006-0000-0200-000001000000}">
      <text>
        <r>
          <rPr>
            <b/>
            <sz val="9"/>
            <color indexed="81"/>
            <rFont val="ＭＳ Ｐゴシック"/>
            <family val="3"/>
            <charset val="128"/>
          </rPr>
          <t>借入額を入れる</t>
        </r>
      </text>
    </comment>
  </commentList>
</comments>
</file>

<file path=xl/sharedStrings.xml><?xml version="1.0" encoding="utf-8"?>
<sst xmlns="http://schemas.openxmlformats.org/spreadsheetml/2006/main" count="683" uniqueCount="388">
  <si>
    <t>万円</t>
    <rPh sb="0" eb="2">
      <t>マンエン</t>
    </rPh>
    <phoneticPr fontId="2"/>
  </si>
  <si>
    <t>名</t>
    <rPh sb="0" eb="1">
      <t>メイ</t>
    </rPh>
    <phoneticPr fontId="2"/>
  </si>
  <si>
    <t>売上高／人</t>
    <rPh sb="0" eb="2">
      <t>ウリアゲ</t>
    </rPh>
    <rPh sb="2" eb="3">
      <t>ダカ</t>
    </rPh>
    <rPh sb="4" eb="5">
      <t>ヒト</t>
    </rPh>
    <phoneticPr fontId="2"/>
  </si>
  <si>
    <t>：</t>
    <phoneticPr fontId="2"/>
  </si>
  <si>
    <t>（商品点数ﾍﾞｰｽ）</t>
    <rPh sb="1" eb="3">
      <t>ショウヒン</t>
    </rPh>
    <rPh sb="3" eb="5">
      <t>テンスウ</t>
    </rPh>
    <phoneticPr fontId="2"/>
  </si>
  <si>
    <t>生菓子売上</t>
    <rPh sb="0" eb="3">
      <t>ナマガシ</t>
    </rPh>
    <rPh sb="3" eb="5">
      <t>ウリアゲ</t>
    </rPh>
    <phoneticPr fontId="2"/>
  </si>
  <si>
    <t>焼菓子売上</t>
    <rPh sb="0" eb="3">
      <t>ヤキガシ</t>
    </rPh>
    <rPh sb="3" eb="5">
      <t>ウリアゲ</t>
    </rPh>
    <phoneticPr fontId="2"/>
  </si>
  <si>
    <t>生菓子平均単価</t>
    <rPh sb="0" eb="3">
      <t>ナマガシ</t>
    </rPh>
    <rPh sb="3" eb="5">
      <t>ヘイキン</t>
    </rPh>
    <rPh sb="5" eb="7">
      <t>タンカ</t>
    </rPh>
    <phoneticPr fontId="2"/>
  </si>
  <si>
    <t>円／個</t>
    <rPh sb="0" eb="1">
      <t>エン</t>
    </rPh>
    <rPh sb="2" eb="3">
      <t>コ</t>
    </rPh>
    <phoneticPr fontId="2"/>
  </si>
  <si>
    <t>焼菓子平均単価</t>
    <rPh sb="0" eb="3">
      <t>ヤキガシ</t>
    </rPh>
    <rPh sb="3" eb="5">
      <t>ヘイキン</t>
    </rPh>
    <rPh sb="5" eb="7">
      <t>タンカ</t>
    </rPh>
    <phoneticPr fontId="2"/>
  </si>
  <si>
    <t>生菓子商品点数</t>
    <rPh sb="0" eb="3">
      <t>ナマガシ</t>
    </rPh>
    <rPh sb="3" eb="5">
      <t>ショウヒン</t>
    </rPh>
    <rPh sb="5" eb="7">
      <t>テンスウ</t>
    </rPh>
    <phoneticPr fontId="2"/>
  </si>
  <si>
    <t>焼菓子商品点数</t>
    <rPh sb="0" eb="3">
      <t>ヤキガシ</t>
    </rPh>
    <rPh sb="3" eb="5">
      <t>ショウヒン</t>
    </rPh>
    <rPh sb="5" eb="7">
      <t>テンスウ</t>
    </rPh>
    <phoneticPr fontId="2"/>
  </si>
  <si>
    <t>個/年間</t>
    <rPh sb="0" eb="1">
      <t>コ</t>
    </rPh>
    <rPh sb="2" eb="4">
      <t>ネンカン</t>
    </rPh>
    <phoneticPr fontId="2"/>
  </si>
  <si>
    <t>個/月間</t>
    <rPh sb="0" eb="1">
      <t>コ</t>
    </rPh>
    <rPh sb="2" eb="3">
      <t>ツキ</t>
    </rPh>
    <rPh sb="3" eb="4">
      <t>カン</t>
    </rPh>
    <phoneticPr fontId="2"/>
  </si>
  <si>
    <t>個/日</t>
    <rPh sb="0" eb="1">
      <t>コ</t>
    </rPh>
    <rPh sb="2" eb="3">
      <t>ニチ</t>
    </rPh>
    <phoneticPr fontId="2"/>
  </si>
  <si>
    <t>（総合年産）</t>
    <rPh sb="1" eb="3">
      <t>ソウゴウ</t>
    </rPh>
    <rPh sb="3" eb="5">
      <t>ネンサン</t>
    </rPh>
    <phoneticPr fontId="2"/>
  </si>
  <si>
    <t>（総合月産）</t>
    <rPh sb="3" eb="4">
      <t>ツキ</t>
    </rPh>
    <rPh sb="4" eb="5">
      <t>サン</t>
    </rPh>
    <phoneticPr fontId="2"/>
  </si>
  <si>
    <t>（一人当たり年産）</t>
    <rPh sb="1" eb="3">
      <t>ヒトリ</t>
    </rPh>
    <rPh sb="3" eb="4">
      <t>ア</t>
    </rPh>
    <rPh sb="6" eb="8">
      <t>ネンサン</t>
    </rPh>
    <phoneticPr fontId="2"/>
  </si>
  <si>
    <t>（内訳）</t>
    <rPh sb="1" eb="3">
      <t>ウチワケ</t>
    </rPh>
    <phoneticPr fontId="2"/>
  </si>
  <si>
    <t>（入）売上規模／年</t>
    <rPh sb="1" eb="2">
      <t>イ</t>
    </rPh>
    <rPh sb="3" eb="5">
      <t>ウリアゲ</t>
    </rPh>
    <rPh sb="5" eb="7">
      <t>キボ</t>
    </rPh>
    <rPh sb="8" eb="9">
      <t>ネン</t>
    </rPh>
    <phoneticPr fontId="2"/>
  </si>
  <si>
    <t>（出）労務費／年</t>
    <rPh sb="1" eb="2">
      <t>デ</t>
    </rPh>
    <rPh sb="3" eb="6">
      <t>ロウムヒ</t>
    </rPh>
    <rPh sb="7" eb="8">
      <t>ネン</t>
    </rPh>
    <phoneticPr fontId="2"/>
  </si>
  <si>
    <t>（出）販管費／年</t>
    <rPh sb="1" eb="2">
      <t>デ</t>
    </rPh>
    <rPh sb="3" eb="6">
      <t>ハンカンヒ</t>
    </rPh>
    <rPh sb="7" eb="8">
      <t>ネン</t>
    </rPh>
    <phoneticPr fontId="2"/>
  </si>
  <si>
    <r>
      <t>生菓子平均</t>
    </r>
    <r>
      <rPr>
        <b/>
        <sz val="11"/>
        <color theme="1"/>
        <rFont val="游ゴシック"/>
        <family val="3"/>
        <charset val="128"/>
        <scheme val="minor"/>
      </rPr>
      <t>材料原価</t>
    </r>
    <rPh sb="0" eb="3">
      <t>ナマガシ</t>
    </rPh>
    <rPh sb="3" eb="5">
      <t>ヘイキン</t>
    </rPh>
    <rPh sb="5" eb="7">
      <t>ザイリョウ</t>
    </rPh>
    <rPh sb="7" eb="9">
      <t>ゲンカ</t>
    </rPh>
    <phoneticPr fontId="2"/>
  </si>
  <si>
    <r>
      <t>焼菓子平均</t>
    </r>
    <r>
      <rPr>
        <b/>
        <sz val="11"/>
        <color theme="1"/>
        <rFont val="游ゴシック"/>
        <family val="3"/>
        <charset val="128"/>
        <scheme val="minor"/>
      </rPr>
      <t>材料原価</t>
    </r>
    <rPh sb="0" eb="3">
      <t>ヤキガシ</t>
    </rPh>
    <rPh sb="3" eb="5">
      <t>ヘイキン</t>
    </rPh>
    <rPh sb="5" eb="7">
      <t>ザイリョウ</t>
    </rPh>
    <rPh sb="7" eb="9">
      <t>ゲンカ</t>
    </rPh>
    <phoneticPr fontId="2"/>
  </si>
  <si>
    <r>
      <t>生菓子平均</t>
    </r>
    <r>
      <rPr>
        <b/>
        <sz val="11"/>
        <color theme="1"/>
        <rFont val="游ゴシック"/>
        <family val="3"/>
        <charset val="128"/>
        <scheme val="minor"/>
      </rPr>
      <t>労務費</t>
    </r>
    <rPh sb="0" eb="3">
      <t>ナマガシ</t>
    </rPh>
    <rPh sb="3" eb="5">
      <t>ヘイキン</t>
    </rPh>
    <rPh sb="5" eb="8">
      <t>ロウムヒ</t>
    </rPh>
    <phoneticPr fontId="2"/>
  </si>
  <si>
    <r>
      <t>焼菓子平均</t>
    </r>
    <r>
      <rPr>
        <b/>
        <sz val="11"/>
        <color theme="1"/>
        <rFont val="游ゴシック"/>
        <family val="3"/>
        <charset val="128"/>
        <scheme val="minor"/>
      </rPr>
      <t>労務費</t>
    </r>
    <rPh sb="0" eb="3">
      <t>ヤキガシ</t>
    </rPh>
    <rPh sb="3" eb="5">
      <t>ヘイキン</t>
    </rPh>
    <rPh sb="5" eb="8">
      <t>ロウムヒ</t>
    </rPh>
    <phoneticPr fontId="2"/>
  </si>
  <si>
    <r>
      <t>生菓子平均</t>
    </r>
    <r>
      <rPr>
        <b/>
        <sz val="11"/>
        <color theme="1"/>
        <rFont val="游ゴシック"/>
        <family val="3"/>
        <charset val="128"/>
        <scheme val="minor"/>
      </rPr>
      <t>販管費</t>
    </r>
    <rPh sb="0" eb="3">
      <t>ナマガシ</t>
    </rPh>
    <rPh sb="3" eb="5">
      <t>ヘイキン</t>
    </rPh>
    <rPh sb="5" eb="8">
      <t>ハンカンヒ</t>
    </rPh>
    <phoneticPr fontId="2"/>
  </si>
  <si>
    <r>
      <t>焼菓子平均</t>
    </r>
    <r>
      <rPr>
        <b/>
        <sz val="11"/>
        <color theme="1"/>
        <rFont val="游ゴシック"/>
        <family val="3"/>
        <charset val="128"/>
        <scheme val="minor"/>
      </rPr>
      <t>販管費</t>
    </r>
    <rPh sb="0" eb="3">
      <t>ヤキガシ</t>
    </rPh>
    <rPh sb="3" eb="5">
      <t>ヘイキン</t>
    </rPh>
    <phoneticPr fontId="2"/>
  </si>
  <si>
    <t>（売り平均単価）</t>
    <rPh sb="1" eb="2">
      <t>ウ</t>
    </rPh>
    <rPh sb="3" eb="5">
      <t>ヘイキン</t>
    </rPh>
    <rPh sb="5" eb="7">
      <t>タンカ</t>
    </rPh>
    <phoneticPr fontId="2"/>
  </si>
  <si>
    <t>（材料原価）</t>
    <rPh sb="1" eb="3">
      <t>ザイリョウ</t>
    </rPh>
    <rPh sb="3" eb="5">
      <t>ゲンカ</t>
    </rPh>
    <phoneticPr fontId="2"/>
  </si>
  <si>
    <t>生菓子平均総原価</t>
    <rPh sb="5" eb="8">
      <t>ソウゲンカ</t>
    </rPh>
    <phoneticPr fontId="2"/>
  </si>
  <si>
    <t>焼菓子平均総原価</t>
    <phoneticPr fontId="2"/>
  </si>
  <si>
    <t>率</t>
    <rPh sb="0" eb="1">
      <t>リツ</t>
    </rPh>
    <phoneticPr fontId="2"/>
  </si>
  <si>
    <t>割合</t>
    <rPh sb="0" eb="2">
      <t>ワリアイ</t>
    </rPh>
    <phoneticPr fontId="2"/>
  </si>
  <si>
    <t>従業員数（製造）</t>
    <rPh sb="0" eb="3">
      <t>ジュウギョウイン</t>
    </rPh>
    <rPh sb="3" eb="4">
      <t>スウ</t>
    </rPh>
    <rPh sb="5" eb="7">
      <t>セイゾウ</t>
    </rPh>
    <phoneticPr fontId="2"/>
  </si>
  <si>
    <t>営業日</t>
    <rPh sb="0" eb="3">
      <t>エイギョウビ</t>
    </rPh>
    <phoneticPr fontId="2"/>
  </si>
  <si>
    <t>（総合日産）</t>
    <rPh sb="3" eb="5">
      <t>ニッサン</t>
    </rPh>
    <phoneticPr fontId="2"/>
  </si>
  <si>
    <t>材料</t>
    <rPh sb="0" eb="2">
      <t>ザイリョウ</t>
    </rPh>
    <phoneticPr fontId="2"/>
  </si>
  <si>
    <t>労務</t>
    <rPh sb="0" eb="2">
      <t>ロウム</t>
    </rPh>
    <phoneticPr fontId="2"/>
  </si>
  <si>
    <t>販管</t>
    <rPh sb="0" eb="2">
      <t>ハンカン</t>
    </rPh>
    <phoneticPr fontId="2"/>
  </si>
  <si>
    <t>総原価</t>
    <rPh sb="0" eb="3">
      <t>ソウゲンカ</t>
    </rPh>
    <phoneticPr fontId="2"/>
  </si>
  <si>
    <t>平均
単価</t>
    <rPh sb="0" eb="2">
      <t>ヘイキン</t>
    </rPh>
    <rPh sb="3" eb="5">
      <t>タンカ</t>
    </rPh>
    <phoneticPr fontId="2"/>
  </si>
  <si>
    <t>ー</t>
    <phoneticPr fontId="2"/>
  </si>
  <si>
    <t>生）/個</t>
    <rPh sb="0" eb="1">
      <t>ナマ</t>
    </rPh>
    <rPh sb="3" eb="4">
      <t>コ</t>
    </rPh>
    <phoneticPr fontId="2"/>
  </si>
  <si>
    <t>焼）/個</t>
    <rPh sb="0" eb="1">
      <t>ヤ</t>
    </rPh>
    <rPh sb="3" eb="4">
      <t>コ</t>
    </rPh>
    <phoneticPr fontId="2"/>
  </si>
  <si>
    <t>総
原価</t>
    <rPh sb="0" eb="1">
      <t>ソウ</t>
    </rPh>
    <rPh sb="2" eb="4">
      <t>ゲンカ</t>
    </rPh>
    <phoneticPr fontId="2"/>
  </si>
  <si>
    <r>
      <t>生菓子商品</t>
    </r>
    <r>
      <rPr>
        <b/>
        <u/>
        <sz val="11"/>
        <color theme="1"/>
        <rFont val="游ゴシック"/>
        <family val="3"/>
        <charset val="128"/>
        <scheme val="minor"/>
      </rPr>
      <t>実収益</t>
    </r>
    <rPh sb="0" eb="3">
      <t>ナマガシ</t>
    </rPh>
    <rPh sb="3" eb="5">
      <t>ショウヒン</t>
    </rPh>
    <rPh sb="5" eb="6">
      <t>ジツ</t>
    </rPh>
    <rPh sb="6" eb="8">
      <t>シュウエキ</t>
    </rPh>
    <phoneticPr fontId="2"/>
  </si>
  <si>
    <r>
      <t>焼菓子商品</t>
    </r>
    <r>
      <rPr>
        <b/>
        <u/>
        <sz val="11"/>
        <color theme="1"/>
        <rFont val="游ゴシック"/>
        <family val="3"/>
        <charset val="128"/>
        <scheme val="minor"/>
      </rPr>
      <t>実収益</t>
    </r>
    <rPh sb="0" eb="3">
      <t>ヤキガシ</t>
    </rPh>
    <rPh sb="3" eb="5">
      <t>ショウヒン</t>
    </rPh>
    <rPh sb="5" eb="6">
      <t>ジツ</t>
    </rPh>
    <rPh sb="6" eb="8">
      <t>シュウエキ</t>
    </rPh>
    <phoneticPr fontId="2"/>
  </si>
  <si>
    <t>→</t>
    <phoneticPr fontId="2"/>
  </si>
  <si>
    <t>年間実収益/個
（決算書ベース）</t>
    <rPh sb="0" eb="2">
      <t>ネンカン</t>
    </rPh>
    <rPh sb="2" eb="3">
      <t>ジツ</t>
    </rPh>
    <rPh sb="3" eb="5">
      <t>シュウエキ</t>
    </rPh>
    <rPh sb="6" eb="7">
      <t>コ</t>
    </rPh>
    <rPh sb="9" eb="12">
      <t>ケッサンショ</t>
    </rPh>
    <phoneticPr fontId="2"/>
  </si>
  <si>
    <t>※生・・・ケーキ＋アイスクリーム＋ゼリー等　※焼・・・クッキー類＋チョコレート等</t>
    <rPh sb="1" eb="2">
      <t>ナマ</t>
    </rPh>
    <rPh sb="20" eb="21">
      <t>トウ</t>
    </rPh>
    <phoneticPr fontId="2"/>
  </si>
  <si>
    <t>≪設備導入前≫</t>
    <rPh sb="1" eb="3">
      <t>セツビ</t>
    </rPh>
    <rPh sb="3" eb="5">
      <t>ドウニュウ</t>
    </rPh>
    <rPh sb="5" eb="6">
      <t>マエ</t>
    </rPh>
    <phoneticPr fontId="2"/>
  </si>
  <si>
    <t>≪設備導入後≫</t>
    <rPh sb="1" eb="3">
      <t>セツビ</t>
    </rPh>
    <rPh sb="3" eb="5">
      <t>ドウニュウ</t>
    </rPh>
    <rPh sb="5" eb="6">
      <t>ゴ</t>
    </rPh>
    <phoneticPr fontId="2"/>
  </si>
  <si>
    <t>（一人当たり月産）</t>
    <rPh sb="1" eb="3">
      <t>ヒトリ</t>
    </rPh>
    <rPh sb="3" eb="4">
      <t>ア</t>
    </rPh>
    <rPh sb="6" eb="8">
      <t>ゲッサン</t>
    </rPh>
    <phoneticPr fontId="2"/>
  </si>
  <si>
    <t>（一人当たり日産）</t>
    <rPh sb="1" eb="3">
      <t>ヒトリ</t>
    </rPh>
    <rPh sb="3" eb="4">
      <t>ア</t>
    </rPh>
    <rPh sb="6" eb="8">
      <t>ニッサン</t>
    </rPh>
    <phoneticPr fontId="2"/>
  </si>
  <si>
    <t>生菓子：焼菓子　＝</t>
    <rPh sb="0" eb="3">
      <t>ナマガシ</t>
    </rPh>
    <rPh sb="4" eb="5">
      <t>ヤ</t>
    </rPh>
    <rPh sb="5" eb="7">
      <t>カシ</t>
    </rPh>
    <phoneticPr fontId="2"/>
  </si>
  <si>
    <r>
      <t>焼菓子平均</t>
    </r>
    <r>
      <rPr>
        <b/>
        <sz val="11"/>
        <color theme="1"/>
        <rFont val="游ゴシック"/>
        <family val="3"/>
        <charset val="128"/>
        <scheme val="minor"/>
      </rPr>
      <t>材料原価</t>
    </r>
    <rPh sb="3" eb="5">
      <t>ヘイキン</t>
    </rPh>
    <rPh sb="5" eb="7">
      <t>ザイリョウ</t>
    </rPh>
    <rPh sb="7" eb="9">
      <t>ゲンカ</t>
    </rPh>
    <phoneticPr fontId="2"/>
  </si>
  <si>
    <r>
      <t>焼菓子平均</t>
    </r>
    <r>
      <rPr>
        <b/>
        <sz val="11"/>
        <color theme="1"/>
        <rFont val="游ゴシック"/>
        <family val="3"/>
        <charset val="128"/>
        <scheme val="minor"/>
      </rPr>
      <t>販管費</t>
    </r>
    <rPh sb="0" eb="3">
      <t>ヤキガシ</t>
    </rPh>
    <rPh sb="3" eb="5">
      <t>ヘイキン</t>
    </rPh>
    <rPh sb="5" eb="8">
      <t>ハンカンヒ</t>
    </rPh>
    <phoneticPr fontId="2"/>
  </si>
  <si>
    <t>焼菓子平均総原価</t>
    <rPh sb="0" eb="1">
      <t>ヤ</t>
    </rPh>
    <rPh sb="1" eb="3">
      <t>カシ</t>
    </rPh>
    <rPh sb="3" eb="5">
      <t>ヘイキン</t>
    </rPh>
    <phoneticPr fontId="2"/>
  </si>
  <si>
    <t>売上成長</t>
    <rPh sb="0" eb="2">
      <t>ウリアゲ</t>
    </rPh>
    <rPh sb="2" eb="4">
      <t>セイチョウ</t>
    </rPh>
    <phoneticPr fontId="2"/>
  </si>
  <si>
    <t>製造　増員数</t>
    <rPh sb="0" eb="2">
      <t>セイゾウ</t>
    </rPh>
    <rPh sb="3" eb="5">
      <t>ゾウイン</t>
    </rPh>
    <rPh sb="5" eb="6">
      <t>スウ</t>
    </rPh>
    <phoneticPr fontId="2"/>
  </si>
  <si>
    <r>
      <t>≪成長を設定（</t>
    </r>
    <r>
      <rPr>
        <b/>
        <u/>
        <sz val="28"/>
        <color rgb="FFFF0000"/>
        <rFont val="游ゴシック"/>
        <family val="3"/>
        <charset val="128"/>
        <scheme val="minor"/>
      </rPr>
      <t>５年後</t>
    </r>
    <r>
      <rPr>
        <b/>
        <u/>
        <sz val="28"/>
        <color theme="1"/>
        <rFont val="游ゴシック"/>
        <family val="3"/>
        <charset val="128"/>
        <scheme val="minor"/>
      </rPr>
      <t>）≫</t>
    </r>
    <rPh sb="1" eb="3">
      <t>セイチョウ</t>
    </rPh>
    <rPh sb="4" eb="6">
      <t>セッテイ</t>
    </rPh>
    <rPh sb="8" eb="10">
      <t>ネンゴ</t>
    </rPh>
    <phoneticPr fontId="2"/>
  </si>
  <si>
    <t>※仕入除く</t>
    <phoneticPr fontId="2"/>
  </si>
  <si>
    <t>= 営業利益率</t>
    <rPh sb="2" eb="4">
      <t>エイギョウ</t>
    </rPh>
    <rPh sb="4" eb="6">
      <t>リエキ</t>
    </rPh>
    <rPh sb="6" eb="7">
      <t>リツ</t>
    </rPh>
    <phoneticPr fontId="2"/>
  </si>
  <si>
    <t>製造原価低減</t>
    <rPh sb="0" eb="2">
      <t>セイゾウ</t>
    </rPh>
    <rPh sb="2" eb="4">
      <t>ゲンカ</t>
    </rPh>
    <rPh sb="4" eb="6">
      <t>テイゲン</t>
    </rPh>
    <phoneticPr fontId="2"/>
  </si>
  <si>
    <t>円／個</t>
    <phoneticPr fontId="2"/>
  </si>
  <si>
    <t>補助額</t>
    <rPh sb="0" eb="2">
      <t>ホジョ</t>
    </rPh>
    <rPh sb="2" eb="3">
      <t>ガク</t>
    </rPh>
    <phoneticPr fontId="2"/>
  </si>
  <si>
    <t>減価償却費</t>
    <rPh sb="0" eb="2">
      <t>ゲンカ</t>
    </rPh>
    <rPh sb="2" eb="4">
      <t>ショウキャク</t>
    </rPh>
    <rPh sb="4" eb="5">
      <t>ヒ</t>
    </rPh>
    <phoneticPr fontId="2"/>
  </si>
  <si>
    <t>設備①</t>
    <rPh sb="0" eb="2">
      <t>セツビ</t>
    </rPh>
    <phoneticPr fontId="2"/>
  </si>
  <si>
    <t>設備②</t>
    <rPh sb="0" eb="2">
      <t>セツビ</t>
    </rPh>
    <phoneticPr fontId="2"/>
  </si>
  <si>
    <t>設備③</t>
    <rPh sb="0" eb="2">
      <t>セツビ</t>
    </rPh>
    <phoneticPr fontId="2"/>
  </si>
  <si>
    <t>計</t>
    <rPh sb="0" eb="1">
      <t>ケイ</t>
    </rPh>
    <phoneticPr fontId="2"/>
  </si>
  <si>
    <t>一括償却</t>
    <rPh sb="0" eb="2">
      <t>イッカツ</t>
    </rPh>
    <rPh sb="2" eb="4">
      <t>ショウキャク</t>
    </rPh>
    <phoneticPr fontId="2"/>
  </si>
  <si>
    <t>する</t>
    <phoneticPr fontId="2"/>
  </si>
  <si>
    <t>しない</t>
    <phoneticPr fontId="2"/>
  </si>
  <si>
    <t>設定用</t>
    <rPh sb="0" eb="3">
      <t>セッテイヨウ</t>
    </rPh>
    <phoneticPr fontId="2"/>
  </si>
  <si>
    <t>補助率</t>
    <rPh sb="0" eb="3">
      <t>ホジョリツ</t>
    </rPh>
    <phoneticPr fontId="2"/>
  </si>
  <si>
    <t>1/2</t>
    <phoneticPr fontId="2"/>
  </si>
  <si>
    <t>2/3</t>
    <phoneticPr fontId="2"/>
  </si>
  <si>
    <t>　手 順</t>
    <rPh sb="1" eb="2">
      <t>テ</t>
    </rPh>
    <rPh sb="3" eb="4">
      <t>ジュン</t>
    </rPh>
    <phoneticPr fontId="2"/>
  </si>
  <si>
    <t>０．準備する書類　　⇒　　直近２年分の決算書（貸借対照表、損益計算書、販管費一覧、製造原価報告書）、購入予定設備の見積書</t>
    <rPh sb="2" eb="4">
      <t>ジュンビ</t>
    </rPh>
    <rPh sb="6" eb="8">
      <t>ショルイ</t>
    </rPh>
    <rPh sb="13" eb="15">
      <t>チョッキン</t>
    </rPh>
    <rPh sb="16" eb="18">
      <t>ネンブン</t>
    </rPh>
    <rPh sb="19" eb="22">
      <t>ケッサンショ</t>
    </rPh>
    <rPh sb="23" eb="25">
      <t>タイシャク</t>
    </rPh>
    <rPh sb="25" eb="28">
      <t>タイショウヒョウ</t>
    </rPh>
    <rPh sb="29" eb="31">
      <t>ソンエキ</t>
    </rPh>
    <rPh sb="31" eb="34">
      <t>ケイサンショ</t>
    </rPh>
    <rPh sb="35" eb="38">
      <t>ハンカンヒ</t>
    </rPh>
    <rPh sb="38" eb="40">
      <t>イチラン</t>
    </rPh>
    <rPh sb="41" eb="43">
      <t>セイゾウ</t>
    </rPh>
    <rPh sb="43" eb="45">
      <t>ゲンカ</t>
    </rPh>
    <rPh sb="45" eb="48">
      <t>ホウコクショ</t>
    </rPh>
    <rPh sb="50" eb="52">
      <t>コウニュウ</t>
    </rPh>
    <rPh sb="52" eb="54">
      <t>ヨテイ</t>
    </rPh>
    <rPh sb="54" eb="56">
      <t>セツビ</t>
    </rPh>
    <rPh sb="57" eb="60">
      <t>ミツモリショ</t>
    </rPh>
    <phoneticPr fontId="2"/>
  </si>
  <si>
    <t>１．直近2年間の数値を入力　</t>
    <rPh sb="2" eb="4">
      <t>チョッキン</t>
    </rPh>
    <rPh sb="5" eb="7">
      <t>ネンカン</t>
    </rPh>
    <rPh sb="8" eb="10">
      <t>スウチ</t>
    </rPh>
    <rPh sb="11" eb="13">
      <t>ニュウリョク</t>
    </rPh>
    <phoneticPr fontId="2"/>
  </si>
  <si>
    <r>
      <rPr>
        <sz val="12"/>
        <color theme="1"/>
        <rFont val="游ゴシック"/>
        <family val="3"/>
        <charset val="128"/>
        <scheme val="minor"/>
      </rPr>
      <t>　　</t>
    </r>
    <r>
      <rPr>
        <u/>
        <sz val="12"/>
        <color theme="1"/>
        <rFont val="游ゴシック"/>
        <family val="3"/>
        <charset val="128"/>
        <scheme val="minor"/>
      </rPr>
      <t>予想損益計算書の</t>
    </r>
    <r>
      <rPr>
        <b/>
        <u/>
        <sz val="16"/>
        <color rgb="FFFFC000"/>
        <rFont val="游ゴシック"/>
        <family val="3"/>
        <charset val="128"/>
        <scheme val="minor"/>
      </rPr>
      <t>黄色セル部分</t>
    </r>
    <r>
      <rPr>
        <u/>
        <sz val="12"/>
        <color theme="1"/>
        <rFont val="游ゴシック"/>
        <family val="3"/>
        <charset val="128"/>
        <scheme val="minor"/>
      </rPr>
      <t>に、お客さんから預かっている決算書や見積書を見て値を入力　　　　※白色セルは自動計算されます</t>
    </r>
    <rPh sb="2" eb="4">
      <t>ヨソウ</t>
    </rPh>
    <rPh sb="4" eb="6">
      <t>ソンエキ</t>
    </rPh>
    <rPh sb="6" eb="9">
      <t>ケイサンショ</t>
    </rPh>
    <rPh sb="10" eb="12">
      <t>キイロ</t>
    </rPh>
    <rPh sb="14" eb="16">
      <t>ブブン</t>
    </rPh>
    <rPh sb="19" eb="20">
      <t>キャク</t>
    </rPh>
    <rPh sb="24" eb="25">
      <t>アズ</t>
    </rPh>
    <rPh sb="30" eb="33">
      <t>ケッサンショ</t>
    </rPh>
    <rPh sb="34" eb="37">
      <t>ミツモリショ</t>
    </rPh>
    <rPh sb="38" eb="39">
      <t>ミ</t>
    </rPh>
    <rPh sb="40" eb="41">
      <t>アタイ</t>
    </rPh>
    <rPh sb="42" eb="44">
      <t>ニュウリョク</t>
    </rPh>
    <phoneticPr fontId="2"/>
  </si>
  <si>
    <t>　　※ 注 意 ※</t>
    <rPh sb="4" eb="5">
      <t>チュウ</t>
    </rPh>
    <rPh sb="6" eb="7">
      <t>イ</t>
    </rPh>
    <phoneticPr fontId="2"/>
  </si>
  <si>
    <t>　　④人件費</t>
    <rPh sb="3" eb="6">
      <t>ジンケンヒ</t>
    </rPh>
    <phoneticPr fontId="2"/>
  </si>
  <si>
    <t>[販管費一覧から抜粋：役員報酬＋給料＋雑給＋福利厚生費＋法定福利費]　＋　[製造原価報告書から抜粋：労務費＋雑給＋福利厚生費＋法定福利費]</t>
    <rPh sb="1" eb="4">
      <t>ハンカンヒ</t>
    </rPh>
    <rPh sb="4" eb="6">
      <t>イチラン</t>
    </rPh>
    <rPh sb="8" eb="10">
      <t>バッスイ</t>
    </rPh>
    <rPh sb="11" eb="13">
      <t>ヤクイン</t>
    </rPh>
    <rPh sb="13" eb="15">
      <t>ホウシュウ</t>
    </rPh>
    <rPh sb="16" eb="18">
      <t>キュウリョウ</t>
    </rPh>
    <rPh sb="19" eb="21">
      <t>ザッキュウ</t>
    </rPh>
    <rPh sb="22" eb="24">
      <t>フクリ</t>
    </rPh>
    <rPh sb="24" eb="26">
      <t>コウセイ</t>
    </rPh>
    <rPh sb="26" eb="27">
      <t>ヒ</t>
    </rPh>
    <rPh sb="28" eb="30">
      <t>ホウテイ</t>
    </rPh>
    <rPh sb="30" eb="32">
      <t>フクリ</t>
    </rPh>
    <rPh sb="32" eb="33">
      <t>ヒ</t>
    </rPh>
    <rPh sb="38" eb="40">
      <t>セイゾウ</t>
    </rPh>
    <rPh sb="40" eb="42">
      <t>ゲンカ</t>
    </rPh>
    <rPh sb="42" eb="45">
      <t>ホウコクショ</t>
    </rPh>
    <rPh sb="47" eb="49">
      <t>バッスイ</t>
    </rPh>
    <rPh sb="50" eb="53">
      <t>ロウムヒ</t>
    </rPh>
    <rPh sb="54" eb="56">
      <t>ザッキュウ</t>
    </rPh>
    <rPh sb="57" eb="59">
      <t>フクリ</t>
    </rPh>
    <rPh sb="59" eb="62">
      <t>コウセイヒ</t>
    </rPh>
    <rPh sb="63" eb="65">
      <t>ホウテイ</t>
    </rPh>
    <rPh sb="65" eb="67">
      <t>フクリ</t>
    </rPh>
    <rPh sb="67" eb="68">
      <t>ヒ</t>
    </rPh>
    <phoneticPr fontId="2"/>
  </si>
  <si>
    <t>　　⑤減価償却費</t>
    <rPh sb="3" eb="5">
      <t>ゲンカ</t>
    </rPh>
    <rPh sb="5" eb="7">
      <t>ショウキャク</t>
    </rPh>
    <rPh sb="7" eb="8">
      <t>ヒ</t>
    </rPh>
    <phoneticPr fontId="2"/>
  </si>
  <si>
    <t>[販管費一覧の減価償却費]　＋　[製造原価報告書の減価償却費]</t>
    <rPh sb="1" eb="4">
      <t>ハンカンヒ</t>
    </rPh>
    <rPh sb="4" eb="6">
      <t>イチラン</t>
    </rPh>
    <rPh sb="7" eb="9">
      <t>ゲンカ</t>
    </rPh>
    <rPh sb="9" eb="11">
      <t>ショウキャク</t>
    </rPh>
    <rPh sb="11" eb="12">
      <t>ヒ</t>
    </rPh>
    <rPh sb="17" eb="19">
      <t>セイゾウ</t>
    </rPh>
    <rPh sb="19" eb="21">
      <t>ゲンカ</t>
    </rPh>
    <rPh sb="21" eb="24">
      <t>ホウコクショ</t>
    </rPh>
    <rPh sb="25" eb="27">
      <t>ゲンカ</t>
    </rPh>
    <rPh sb="27" eb="29">
      <t>ショウキャク</t>
    </rPh>
    <rPh sb="29" eb="30">
      <t>ヒ</t>
    </rPh>
    <phoneticPr fontId="2"/>
  </si>
  <si>
    <t>予想損益計算書</t>
    <rPh sb="0" eb="2">
      <t>ヨソウ</t>
    </rPh>
    <rPh sb="2" eb="4">
      <t>ソンエキ</t>
    </rPh>
    <rPh sb="4" eb="7">
      <t>ケイサンショ</t>
    </rPh>
    <phoneticPr fontId="2"/>
  </si>
  <si>
    <t>単位　円</t>
    <rPh sb="0" eb="2">
      <t>タンイ</t>
    </rPh>
    <rPh sb="3" eb="4">
      <t>エン</t>
    </rPh>
    <phoneticPr fontId="2"/>
  </si>
  <si>
    <t>○○年○月期の部分は、その会社の決算月に変更してください。⇒</t>
    <phoneticPr fontId="2"/>
  </si>
  <si>
    <r>
      <rPr>
        <sz val="11"/>
        <color theme="1"/>
        <rFont val="游ゴシック"/>
        <family val="3"/>
        <charset val="128"/>
        <scheme val="minor"/>
      </rPr>
      <t>1年前</t>
    </r>
    <r>
      <rPr>
        <sz val="10"/>
        <color theme="1"/>
        <rFont val="游ゴシック"/>
        <family val="2"/>
        <charset val="128"/>
        <scheme val="minor"/>
      </rPr>
      <t xml:space="preserve">
（</t>
    </r>
    <r>
      <rPr>
        <sz val="10"/>
        <color theme="1"/>
        <rFont val="游ゴシック"/>
        <family val="3"/>
        <charset val="128"/>
        <scheme val="minor"/>
      </rPr>
      <t>28</t>
    </r>
    <r>
      <rPr>
        <sz val="10"/>
        <color theme="1"/>
        <rFont val="游ゴシック"/>
        <family val="2"/>
        <charset val="128"/>
        <scheme val="minor"/>
      </rPr>
      <t>年</t>
    </r>
    <r>
      <rPr>
        <sz val="10"/>
        <color theme="1"/>
        <rFont val="游ゴシック"/>
        <family val="3"/>
        <charset val="128"/>
        <scheme val="minor"/>
      </rPr>
      <t>3</t>
    </r>
    <r>
      <rPr>
        <sz val="10"/>
        <color theme="1"/>
        <rFont val="游ゴシック"/>
        <family val="2"/>
        <charset val="128"/>
        <scheme val="minor"/>
      </rPr>
      <t>月期）</t>
    </r>
    <rPh sb="1" eb="3">
      <t>ネンマエ</t>
    </rPh>
    <phoneticPr fontId="22"/>
  </si>
  <si>
    <r>
      <rPr>
        <sz val="11"/>
        <color theme="1"/>
        <rFont val="游ゴシック"/>
        <family val="3"/>
        <charset val="128"/>
        <scheme val="minor"/>
      </rPr>
      <t>直近期末</t>
    </r>
    <r>
      <rPr>
        <sz val="10"/>
        <color theme="1"/>
        <rFont val="游ゴシック"/>
        <family val="3"/>
        <charset val="128"/>
        <scheme val="minor"/>
      </rPr>
      <t xml:space="preserve">
（29年3月期見込）</t>
    </r>
    <rPh sb="0" eb="2">
      <t>チョッキン</t>
    </rPh>
    <rPh sb="2" eb="4">
      <t>キマツ</t>
    </rPh>
    <rPh sb="8" eb="9">
      <t>ネン</t>
    </rPh>
    <rPh sb="10" eb="11">
      <t>ツキ</t>
    </rPh>
    <rPh sb="11" eb="12">
      <t>キ</t>
    </rPh>
    <rPh sb="12" eb="14">
      <t>ミコミ</t>
    </rPh>
    <phoneticPr fontId="22"/>
  </si>
  <si>
    <r>
      <rPr>
        <sz val="11"/>
        <color theme="1"/>
        <rFont val="游ゴシック"/>
        <family val="3"/>
        <charset val="128"/>
        <scheme val="minor"/>
      </rPr>
      <t>1年後</t>
    </r>
    <r>
      <rPr>
        <sz val="10"/>
        <color theme="1"/>
        <rFont val="游ゴシック"/>
        <family val="3"/>
        <charset val="128"/>
        <scheme val="minor"/>
      </rPr>
      <t xml:space="preserve">
（30年3月期）</t>
    </r>
    <rPh sb="1" eb="3">
      <t>ネンゴ</t>
    </rPh>
    <phoneticPr fontId="22"/>
  </si>
  <si>
    <r>
      <rPr>
        <sz val="11"/>
        <color theme="1"/>
        <rFont val="游ゴシック"/>
        <family val="3"/>
        <charset val="128"/>
        <scheme val="minor"/>
      </rPr>
      <t>2年後</t>
    </r>
    <r>
      <rPr>
        <sz val="10"/>
        <color theme="1"/>
        <rFont val="游ゴシック"/>
        <family val="2"/>
        <charset val="128"/>
        <scheme val="minor"/>
      </rPr>
      <t xml:space="preserve">
（</t>
    </r>
    <r>
      <rPr>
        <sz val="10"/>
        <color theme="1"/>
        <rFont val="游ゴシック"/>
        <family val="3"/>
        <charset val="128"/>
        <scheme val="minor"/>
      </rPr>
      <t>31</t>
    </r>
    <r>
      <rPr>
        <sz val="10"/>
        <color theme="1"/>
        <rFont val="游ゴシック"/>
        <family val="2"/>
        <charset val="128"/>
        <scheme val="minor"/>
      </rPr>
      <t>年</t>
    </r>
    <r>
      <rPr>
        <sz val="10"/>
        <color theme="1"/>
        <rFont val="游ゴシック"/>
        <family val="3"/>
        <charset val="128"/>
        <scheme val="minor"/>
      </rPr>
      <t>3</t>
    </r>
    <r>
      <rPr>
        <sz val="10"/>
        <color theme="1"/>
        <rFont val="游ゴシック"/>
        <family val="2"/>
        <charset val="128"/>
        <scheme val="minor"/>
      </rPr>
      <t>月期）</t>
    </r>
    <rPh sb="1" eb="3">
      <t>ネンゴ</t>
    </rPh>
    <rPh sb="7" eb="8">
      <t>ネン</t>
    </rPh>
    <rPh sb="9" eb="10">
      <t>ガツ</t>
    </rPh>
    <rPh sb="10" eb="11">
      <t>キ</t>
    </rPh>
    <phoneticPr fontId="22"/>
  </si>
  <si>
    <r>
      <rPr>
        <sz val="11"/>
        <color theme="1"/>
        <rFont val="游ゴシック"/>
        <family val="3"/>
        <charset val="128"/>
        <scheme val="minor"/>
      </rPr>
      <t>3年後</t>
    </r>
    <r>
      <rPr>
        <sz val="10"/>
        <color theme="1"/>
        <rFont val="游ゴシック"/>
        <family val="2"/>
        <charset val="128"/>
        <scheme val="minor"/>
      </rPr>
      <t xml:space="preserve">
（</t>
    </r>
    <r>
      <rPr>
        <sz val="10"/>
        <color theme="1"/>
        <rFont val="游ゴシック"/>
        <family val="3"/>
        <charset val="128"/>
        <scheme val="minor"/>
      </rPr>
      <t>32</t>
    </r>
    <r>
      <rPr>
        <sz val="10"/>
        <color theme="1"/>
        <rFont val="游ゴシック"/>
        <family val="2"/>
        <charset val="128"/>
        <scheme val="minor"/>
      </rPr>
      <t>年</t>
    </r>
    <r>
      <rPr>
        <sz val="10"/>
        <color theme="1"/>
        <rFont val="游ゴシック"/>
        <family val="3"/>
        <charset val="128"/>
        <scheme val="minor"/>
      </rPr>
      <t>3</t>
    </r>
    <r>
      <rPr>
        <sz val="10"/>
        <color theme="1"/>
        <rFont val="游ゴシック"/>
        <family val="2"/>
        <charset val="128"/>
        <scheme val="minor"/>
      </rPr>
      <t>月期）</t>
    </r>
    <rPh sb="1" eb="3">
      <t>ネンゴ</t>
    </rPh>
    <rPh sb="7" eb="8">
      <t>ネン</t>
    </rPh>
    <rPh sb="9" eb="10">
      <t>ガツ</t>
    </rPh>
    <rPh sb="10" eb="11">
      <t>キ</t>
    </rPh>
    <phoneticPr fontId="22"/>
  </si>
  <si>
    <r>
      <rPr>
        <sz val="11"/>
        <color theme="1"/>
        <rFont val="游ゴシック"/>
        <family val="3"/>
        <charset val="128"/>
        <scheme val="minor"/>
      </rPr>
      <t>4年後</t>
    </r>
    <r>
      <rPr>
        <sz val="10"/>
        <color theme="1"/>
        <rFont val="游ゴシック"/>
        <family val="3"/>
        <charset val="128"/>
        <scheme val="minor"/>
      </rPr>
      <t xml:space="preserve">
（33年3月期）</t>
    </r>
    <rPh sb="1" eb="3">
      <t>ネンゴ</t>
    </rPh>
    <rPh sb="7" eb="8">
      <t>ネン</t>
    </rPh>
    <rPh sb="9" eb="10">
      <t>ガツ</t>
    </rPh>
    <rPh sb="10" eb="11">
      <t>キ</t>
    </rPh>
    <phoneticPr fontId="22"/>
  </si>
  <si>
    <r>
      <rPr>
        <sz val="11"/>
        <color theme="1"/>
        <rFont val="游ゴシック"/>
        <family val="3"/>
        <charset val="128"/>
        <scheme val="minor"/>
      </rPr>
      <t>5年後</t>
    </r>
    <r>
      <rPr>
        <sz val="10"/>
        <color theme="1"/>
        <rFont val="游ゴシック"/>
        <family val="3"/>
        <charset val="128"/>
        <scheme val="minor"/>
      </rPr>
      <t xml:space="preserve">
（34年3期）</t>
    </r>
    <rPh sb="1" eb="3">
      <t>ネンゴ</t>
    </rPh>
    <rPh sb="7" eb="8">
      <t>ネン</t>
    </rPh>
    <rPh sb="9" eb="10">
      <t>キ</t>
    </rPh>
    <phoneticPr fontId="22"/>
  </si>
  <si>
    <t>①売上高</t>
    <rPh sb="1" eb="3">
      <t>ウリアゲ</t>
    </rPh>
    <rPh sb="3" eb="4">
      <t>ダカ</t>
    </rPh>
    <phoneticPr fontId="22"/>
  </si>
  <si>
    <t>伸び率(%)</t>
    <rPh sb="0" eb="1">
      <t>ノ</t>
    </rPh>
    <rPh sb="2" eb="3">
      <t>リツ</t>
    </rPh>
    <phoneticPr fontId="22"/>
  </si>
  <si>
    <t>　売上原価</t>
    <rPh sb="1" eb="3">
      <t>ウリアゲ</t>
    </rPh>
    <rPh sb="3" eb="5">
      <t>ゲンカ</t>
    </rPh>
    <phoneticPr fontId="22"/>
  </si>
  <si>
    <t>　売上総利益</t>
    <rPh sb="1" eb="6">
      <t>ウリアゲソウリエキ</t>
    </rPh>
    <phoneticPr fontId="22"/>
  </si>
  <si>
    <t>　販売費及び一般管理費
　　　　　　　　　　　、営業経費</t>
    <rPh sb="1" eb="4">
      <t>ハンバイヒ</t>
    </rPh>
    <rPh sb="4" eb="5">
      <t>オヨ</t>
    </rPh>
    <rPh sb="6" eb="8">
      <t>イッパン</t>
    </rPh>
    <rPh sb="8" eb="11">
      <t>カンリヒ</t>
    </rPh>
    <rPh sb="24" eb="26">
      <t>エイギョウ</t>
    </rPh>
    <rPh sb="26" eb="28">
      <t>ケイヒ</t>
    </rPh>
    <phoneticPr fontId="22"/>
  </si>
  <si>
    <t>②営業利益</t>
    <rPh sb="1" eb="3">
      <t>エイギョウ</t>
    </rPh>
    <rPh sb="3" eb="5">
      <t>リエキ</t>
    </rPh>
    <phoneticPr fontId="22"/>
  </si>
  <si>
    <t>③営業外費用</t>
    <rPh sb="1" eb="4">
      <t>エイギョウガイ</t>
    </rPh>
    <rPh sb="4" eb="6">
      <t>ヒヨウ</t>
    </rPh>
    <phoneticPr fontId="22"/>
  </si>
  <si>
    <t>経常利益
　　（②－③）</t>
    <rPh sb="0" eb="2">
      <t>ケイジョウ</t>
    </rPh>
    <rPh sb="2" eb="4">
      <t>リエキ</t>
    </rPh>
    <phoneticPr fontId="22"/>
  </si>
  <si>
    <t>←５年後のセルの値が５％以上となっているか？（年率平均で１％以上か）。</t>
    <rPh sb="2" eb="4">
      <t>ネンゴ</t>
    </rPh>
    <rPh sb="8" eb="9">
      <t>アタイ</t>
    </rPh>
    <rPh sb="12" eb="14">
      <t>イジョウ</t>
    </rPh>
    <rPh sb="23" eb="25">
      <t>ネンリツ</t>
    </rPh>
    <rPh sb="25" eb="27">
      <t>ヘイキン</t>
    </rPh>
    <rPh sb="30" eb="32">
      <t>イジョウ</t>
    </rPh>
    <phoneticPr fontId="2"/>
  </si>
  <si>
    <t>④人件費</t>
    <rPh sb="1" eb="4">
      <t>ジンケンヒ</t>
    </rPh>
    <phoneticPr fontId="22"/>
  </si>
  <si>
    <t>⑤減価償却費</t>
    <rPh sb="1" eb="3">
      <t>ゲンカ</t>
    </rPh>
    <rPh sb="3" eb="5">
      <t>ショウキャク</t>
    </rPh>
    <rPh sb="5" eb="6">
      <t>ヒ</t>
    </rPh>
    <phoneticPr fontId="22"/>
  </si>
  <si>
    <t>付加価値額
（②＋④＋⑤）</t>
    <rPh sb="0" eb="2">
      <t>フカ</t>
    </rPh>
    <rPh sb="2" eb="4">
      <t>カチ</t>
    </rPh>
    <rPh sb="4" eb="5">
      <t>ガク</t>
    </rPh>
    <phoneticPr fontId="22"/>
  </si>
  <si>
    <t>←５年後のセルの値が１５％以上となっているか（年率平均で３％以上か）。</t>
    <rPh sb="13" eb="15">
      <t>イジョウ</t>
    </rPh>
    <rPh sb="23" eb="25">
      <t>ネンリツ</t>
    </rPh>
    <rPh sb="25" eb="27">
      <t>ヘイキン</t>
    </rPh>
    <rPh sb="30" eb="32">
      <t>イジョウ</t>
    </rPh>
    <phoneticPr fontId="2"/>
  </si>
  <si>
    <t>⑥設備投資額</t>
    <rPh sb="1" eb="3">
      <t>セツビ</t>
    </rPh>
    <rPh sb="3" eb="5">
      <t>トウシ</t>
    </rPh>
    <rPh sb="5" eb="6">
      <t>ガク</t>
    </rPh>
    <phoneticPr fontId="22"/>
  </si>
  <si>
    <t>投資利益率※</t>
    <phoneticPr fontId="22"/>
  </si>
  <si>
    <t>経営指標</t>
    <rPh sb="0" eb="2">
      <t>ケイエイ</t>
    </rPh>
    <rPh sb="2" eb="4">
      <t>シヒョウ</t>
    </rPh>
    <phoneticPr fontId="2"/>
  </si>
  <si>
    <t>営業利益率</t>
    <rPh sb="0" eb="2">
      <t>エイギョウ</t>
    </rPh>
    <rPh sb="2" eb="4">
      <t>リエキ</t>
    </rPh>
    <rPh sb="4" eb="5">
      <t>リツ</t>
    </rPh>
    <phoneticPr fontId="2"/>
  </si>
  <si>
    <t>経常利益率</t>
    <rPh sb="0" eb="2">
      <t>ケイジョウ</t>
    </rPh>
    <rPh sb="2" eb="4">
      <t>リエキ</t>
    </rPh>
    <rPh sb="4" eb="5">
      <t>リツ</t>
    </rPh>
    <phoneticPr fontId="2"/>
  </si>
  <si>
    <t>２．売上の伸び率を設定する</t>
    <rPh sb="2" eb="4">
      <t>ウリアゲ</t>
    </rPh>
    <rPh sb="5" eb="6">
      <t>ノ</t>
    </rPh>
    <rPh sb="7" eb="8">
      <t>リツ</t>
    </rPh>
    <rPh sb="9" eb="11">
      <t>セッテイ</t>
    </rPh>
    <phoneticPr fontId="2"/>
  </si>
  <si>
    <t>※以後、５年間の売上算定用（事業計画との整合をとること）</t>
    <rPh sb="1" eb="3">
      <t>イゴ</t>
    </rPh>
    <rPh sb="5" eb="7">
      <t>ネンカン</t>
    </rPh>
    <rPh sb="8" eb="10">
      <t>ウリアゲ</t>
    </rPh>
    <rPh sb="10" eb="12">
      <t>サンテイ</t>
    </rPh>
    <rPh sb="12" eb="13">
      <t>ヨウ</t>
    </rPh>
    <rPh sb="14" eb="16">
      <t>ジギョウ</t>
    </rPh>
    <rPh sb="16" eb="18">
      <t>ケイカク</t>
    </rPh>
    <rPh sb="20" eb="22">
      <t>セイゴウ</t>
    </rPh>
    <phoneticPr fontId="2"/>
  </si>
  <si>
    <t>1年目</t>
    <rPh sb="1" eb="3">
      <t>ネンメ</t>
    </rPh>
    <phoneticPr fontId="2"/>
  </si>
  <si>
    <t>2年目</t>
    <rPh sb="1" eb="3">
      <t>ネンメ</t>
    </rPh>
    <phoneticPr fontId="2"/>
  </si>
  <si>
    <t>3年目</t>
    <rPh sb="1" eb="3">
      <t>ネンメ</t>
    </rPh>
    <phoneticPr fontId="2"/>
  </si>
  <si>
    <t>4年目</t>
    <rPh sb="1" eb="3">
      <t>ネンメ</t>
    </rPh>
    <phoneticPr fontId="2"/>
  </si>
  <si>
    <t>5年目</t>
    <rPh sb="1" eb="3">
      <t>ネンメ</t>
    </rPh>
    <phoneticPr fontId="2"/>
  </si>
  <si>
    <t>売上伸び率</t>
    <rPh sb="0" eb="2">
      <t>ウリアゲ</t>
    </rPh>
    <rPh sb="2" eb="3">
      <t>ノ</t>
    </rPh>
    <rPh sb="4" eb="5">
      <t>リツ</t>
    </rPh>
    <phoneticPr fontId="2"/>
  </si>
  <si>
    <t>※前年比10%の伸びの場合、「110」と入力</t>
    <rPh sb="1" eb="4">
      <t>ゼンネンヒ</t>
    </rPh>
    <rPh sb="8" eb="9">
      <t>ノ</t>
    </rPh>
    <rPh sb="11" eb="13">
      <t>バアイ</t>
    </rPh>
    <rPh sb="20" eb="22">
      <t>ニュウリョク</t>
    </rPh>
    <phoneticPr fontId="2"/>
  </si>
  <si>
    <t>.</t>
    <phoneticPr fontId="2"/>
  </si>
  <si>
    <t>※予想損益計算書の各年「売上高」に自動反映されます。</t>
    <rPh sb="1" eb="3">
      <t>ヨソウ</t>
    </rPh>
    <rPh sb="3" eb="5">
      <t>ソンエキ</t>
    </rPh>
    <rPh sb="5" eb="8">
      <t>ケイサンショ</t>
    </rPh>
    <rPh sb="9" eb="11">
      <t>カクネン</t>
    </rPh>
    <rPh sb="12" eb="14">
      <t>ウリアゲ</t>
    </rPh>
    <rPh sb="14" eb="15">
      <t>ダカ</t>
    </rPh>
    <rPh sb="17" eb="19">
      <t>ジドウ</t>
    </rPh>
    <rPh sb="19" eb="21">
      <t>ハンエイ</t>
    </rPh>
    <phoneticPr fontId="2"/>
  </si>
  <si>
    <t>３．売上原価の低減率を設定する</t>
    <rPh sb="2" eb="4">
      <t>ウリアゲ</t>
    </rPh>
    <rPh sb="4" eb="6">
      <t>ゲンカ</t>
    </rPh>
    <rPh sb="7" eb="9">
      <t>テイゲン</t>
    </rPh>
    <rPh sb="9" eb="10">
      <t>リツ</t>
    </rPh>
    <rPh sb="11" eb="13">
      <t>セッテイ</t>
    </rPh>
    <phoneticPr fontId="2"/>
  </si>
  <si>
    <t>※過去２年間の売上原価率をベースとして、売上原価の前年比低減率を設定</t>
    <rPh sb="1" eb="3">
      <t>カコ</t>
    </rPh>
    <rPh sb="4" eb="5">
      <t>ネン</t>
    </rPh>
    <rPh sb="5" eb="6">
      <t>カン</t>
    </rPh>
    <rPh sb="7" eb="9">
      <t>ウリアゲ</t>
    </rPh>
    <rPh sb="9" eb="11">
      <t>ゲンカ</t>
    </rPh>
    <rPh sb="11" eb="12">
      <t>リツ</t>
    </rPh>
    <rPh sb="20" eb="22">
      <t>ウリアゲ</t>
    </rPh>
    <rPh sb="22" eb="24">
      <t>ゲンカ</t>
    </rPh>
    <rPh sb="25" eb="28">
      <t>ゼンネンヒ</t>
    </rPh>
    <rPh sb="28" eb="30">
      <t>テイゲン</t>
    </rPh>
    <rPh sb="30" eb="31">
      <t>リツ</t>
    </rPh>
    <rPh sb="32" eb="34">
      <t>セッテイ</t>
    </rPh>
    <phoneticPr fontId="2"/>
  </si>
  <si>
    <t>※予想損益計算書の各年「売上原価」に自動反映されます。</t>
    <rPh sb="1" eb="3">
      <t>ヨソウ</t>
    </rPh>
    <rPh sb="3" eb="5">
      <t>ソンエキ</t>
    </rPh>
    <rPh sb="5" eb="8">
      <t>ケイサンショ</t>
    </rPh>
    <rPh sb="9" eb="11">
      <t>カクネン</t>
    </rPh>
    <rPh sb="12" eb="14">
      <t>ウリアゲ</t>
    </rPh>
    <rPh sb="14" eb="16">
      <t>ゲンカ</t>
    </rPh>
    <rPh sb="18" eb="20">
      <t>ジドウ</t>
    </rPh>
    <rPh sb="20" eb="22">
      <t>ハンエイ</t>
    </rPh>
    <phoneticPr fontId="2"/>
  </si>
  <si>
    <t>設備導入による低減率</t>
    <rPh sb="0" eb="2">
      <t>セツビ</t>
    </rPh>
    <rPh sb="2" eb="4">
      <t>ドウニュウ</t>
    </rPh>
    <rPh sb="7" eb="9">
      <t>テイゲン</t>
    </rPh>
    <rPh sb="9" eb="10">
      <t>リツ</t>
    </rPh>
    <phoneticPr fontId="2"/>
  </si>
  <si>
    <t>1年前</t>
    <rPh sb="1" eb="3">
      <t>ネンマエ</t>
    </rPh>
    <phoneticPr fontId="2"/>
  </si>
  <si>
    <t>直近期末</t>
    <rPh sb="0" eb="2">
      <t>チョッキン</t>
    </rPh>
    <rPh sb="2" eb="4">
      <t>キマツ</t>
    </rPh>
    <phoneticPr fontId="2"/>
  </si>
  <si>
    <t>売上原価率</t>
    <rPh sb="0" eb="2">
      <t>ウリアゲ</t>
    </rPh>
    <rPh sb="2" eb="4">
      <t>ゲンカ</t>
    </rPh>
    <rPh sb="4" eb="5">
      <t>リツ</t>
    </rPh>
    <phoneticPr fontId="2"/>
  </si>
  <si>
    <t>※前年比何％原価低減できるかを入力</t>
    <rPh sb="1" eb="4">
      <t>ゼンネンヒ</t>
    </rPh>
    <rPh sb="4" eb="5">
      <t>ナン</t>
    </rPh>
    <rPh sb="6" eb="8">
      <t>ゲンカ</t>
    </rPh>
    <rPh sb="8" eb="10">
      <t>テイゲン</t>
    </rPh>
    <rPh sb="15" eb="17">
      <t>ニュウリョク</t>
    </rPh>
    <phoneticPr fontId="2"/>
  </si>
  <si>
    <t>平均売上原価率(小数以下四捨五入</t>
    <rPh sb="0" eb="2">
      <t>ヘイキン</t>
    </rPh>
    <rPh sb="2" eb="4">
      <t>ウリアゲ</t>
    </rPh>
    <rPh sb="4" eb="6">
      <t>ゲンカ</t>
    </rPh>
    <rPh sb="6" eb="7">
      <t>リツ</t>
    </rPh>
    <rPh sb="8" eb="10">
      <t>ショウスウ</t>
    </rPh>
    <rPh sb="10" eb="12">
      <t>イカ</t>
    </rPh>
    <rPh sb="12" eb="16">
      <t>シシャゴニュウ</t>
    </rPh>
    <phoneticPr fontId="2"/>
  </si>
  <si>
    <t>４．人件費・販管費を設定する</t>
    <rPh sb="2" eb="5">
      <t>ジンケンヒ</t>
    </rPh>
    <rPh sb="6" eb="9">
      <t>ハンカンヒ</t>
    </rPh>
    <rPh sb="10" eb="12">
      <t>セッテイ</t>
    </rPh>
    <phoneticPr fontId="2"/>
  </si>
  <si>
    <r>
      <t>　　[人件費]　人を増やす事業計画である場合、</t>
    </r>
    <r>
      <rPr>
        <b/>
        <u/>
        <sz val="11"/>
        <color theme="1"/>
        <rFont val="游ゴシック"/>
        <family val="3"/>
        <charset val="128"/>
        <scheme val="minor"/>
      </rPr>
      <t>人件費が増える分</t>
    </r>
    <r>
      <rPr>
        <b/>
        <sz val="11"/>
        <color theme="1"/>
        <rFont val="游ゴシック"/>
        <family val="3"/>
        <charset val="128"/>
        <scheme val="minor"/>
      </rPr>
      <t>を記入。（総額ではなく、毎年の純増分を記載）</t>
    </r>
    <rPh sb="3" eb="6">
      <t>ジンケンヒ</t>
    </rPh>
    <rPh sb="8" eb="9">
      <t>ヒト</t>
    </rPh>
    <rPh sb="10" eb="11">
      <t>フ</t>
    </rPh>
    <rPh sb="13" eb="15">
      <t>ジギョウ</t>
    </rPh>
    <rPh sb="15" eb="17">
      <t>ケイカク</t>
    </rPh>
    <rPh sb="20" eb="22">
      <t>バアイ</t>
    </rPh>
    <rPh sb="23" eb="26">
      <t>ジンケンヒ</t>
    </rPh>
    <rPh sb="27" eb="28">
      <t>フ</t>
    </rPh>
    <rPh sb="30" eb="31">
      <t>ブン</t>
    </rPh>
    <rPh sb="32" eb="34">
      <t>キニュウ</t>
    </rPh>
    <rPh sb="36" eb="38">
      <t>ソウガク</t>
    </rPh>
    <rPh sb="43" eb="45">
      <t>マイトシ</t>
    </rPh>
    <rPh sb="46" eb="47">
      <t>ジュン</t>
    </rPh>
    <rPh sb="47" eb="49">
      <t>ゾウブン</t>
    </rPh>
    <rPh sb="50" eb="52">
      <t>キサイ</t>
    </rPh>
    <phoneticPr fontId="2"/>
  </si>
  <si>
    <r>
      <t>年度別人件費の</t>
    </r>
    <r>
      <rPr>
        <b/>
        <sz val="11"/>
        <color theme="1"/>
        <rFont val="游ゴシック"/>
        <family val="3"/>
        <charset val="128"/>
        <scheme val="minor"/>
      </rPr>
      <t>増加分</t>
    </r>
    <rPh sb="0" eb="2">
      <t>ネンド</t>
    </rPh>
    <rPh sb="2" eb="3">
      <t>ベツ</t>
    </rPh>
    <rPh sb="3" eb="6">
      <t>ジンケンヒ</t>
    </rPh>
    <rPh sb="7" eb="9">
      <t>ゾウカ</t>
    </rPh>
    <rPh sb="9" eb="10">
      <t>ブン</t>
    </rPh>
    <phoneticPr fontId="2"/>
  </si>
  <si>
    <t>　　※毎年１名ずつを採用し、年間の人件費増加分が５０万円の場合は、各年に「500,000」と入力。</t>
    <rPh sb="3" eb="5">
      <t>マイトシ</t>
    </rPh>
    <rPh sb="6" eb="7">
      <t>メイ</t>
    </rPh>
    <rPh sb="10" eb="12">
      <t>サイヨウ</t>
    </rPh>
    <rPh sb="14" eb="16">
      <t>ネンカン</t>
    </rPh>
    <rPh sb="17" eb="20">
      <t>ジンケンヒ</t>
    </rPh>
    <rPh sb="20" eb="23">
      <t>ゾウカブン</t>
    </rPh>
    <rPh sb="26" eb="28">
      <t>マンエン</t>
    </rPh>
    <rPh sb="29" eb="31">
      <t>バアイ</t>
    </rPh>
    <rPh sb="33" eb="34">
      <t>カク</t>
    </rPh>
    <rPh sb="34" eb="35">
      <t>ネン</t>
    </rPh>
    <rPh sb="46" eb="48">
      <t>ニュウリョク</t>
    </rPh>
    <phoneticPr fontId="2"/>
  </si>
  <si>
    <t>　　※特に採用の予定がない場合はオールゼロ</t>
    <rPh sb="3" eb="4">
      <t>トク</t>
    </rPh>
    <rPh sb="5" eb="7">
      <t>サイヨウ</t>
    </rPh>
    <rPh sb="8" eb="10">
      <t>ヨテイ</t>
    </rPh>
    <rPh sb="13" eb="15">
      <t>バアイ</t>
    </rPh>
    <phoneticPr fontId="2"/>
  </si>
  <si>
    <t>　　※予想損益計算書の各年「④人件費」に自動反映されます。</t>
    <rPh sb="15" eb="18">
      <t>ジンケンヒ</t>
    </rPh>
    <phoneticPr fontId="2"/>
  </si>
  <si>
    <t>　　[販管費]　販管費を調整したい場合、増額したければプラス値を、減額したい場合はマイナス値を入力</t>
    <rPh sb="3" eb="6">
      <t>ハンカンヒ</t>
    </rPh>
    <rPh sb="8" eb="11">
      <t>ハンカンヒ</t>
    </rPh>
    <rPh sb="12" eb="14">
      <t>チョウセイ</t>
    </rPh>
    <rPh sb="17" eb="19">
      <t>バアイ</t>
    </rPh>
    <rPh sb="20" eb="22">
      <t>ゾウガク</t>
    </rPh>
    <rPh sb="30" eb="31">
      <t>チ</t>
    </rPh>
    <rPh sb="33" eb="35">
      <t>ゲンガク</t>
    </rPh>
    <rPh sb="38" eb="40">
      <t>バアイ</t>
    </rPh>
    <rPh sb="45" eb="46">
      <t>チ</t>
    </rPh>
    <rPh sb="47" eb="49">
      <t>ニュウリョク</t>
    </rPh>
    <phoneticPr fontId="2"/>
  </si>
  <si>
    <t>販間費調整</t>
    <rPh sb="0" eb="3">
      <t>ハンカンヒ</t>
    </rPh>
    <rPh sb="3" eb="5">
      <t>チョウセイ</t>
    </rPh>
    <phoneticPr fontId="2"/>
  </si>
  <si>
    <t>　　※予想損益計算書の各年「販売費および一般管理費、営業経費」に自動反映されます。</t>
    <rPh sb="14" eb="17">
      <t>ハンバイヒ</t>
    </rPh>
    <rPh sb="20" eb="22">
      <t>イッパン</t>
    </rPh>
    <rPh sb="22" eb="25">
      <t>カンリヒ</t>
    </rPh>
    <rPh sb="26" eb="28">
      <t>エイギョウ</t>
    </rPh>
    <rPh sb="28" eb="30">
      <t>ケイヒ</t>
    </rPh>
    <phoneticPr fontId="2"/>
  </si>
  <si>
    <t>５．設備の入力（黄色セルを入力）　　⇒　　減価償却費の自動計算をします</t>
    <rPh sb="2" eb="4">
      <t>セツビ</t>
    </rPh>
    <rPh sb="5" eb="7">
      <t>ニュウリョク</t>
    </rPh>
    <rPh sb="21" eb="23">
      <t>ゲンカ</t>
    </rPh>
    <rPh sb="23" eb="25">
      <t>ショウキャク</t>
    </rPh>
    <rPh sb="25" eb="26">
      <t>ヒ</t>
    </rPh>
    <rPh sb="27" eb="29">
      <t>ジドウ</t>
    </rPh>
    <rPh sb="29" eb="31">
      <t>ケイサン</t>
    </rPh>
    <phoneticPr fontId="2"/>
  </si>
  <si>
    <t>①取得価額・・・見積書を見て、設備ごとの購入額（税抜）を記入してください</t>
    <rPh sb="1" eb="3">
      <t>シュトク</t>
    </rPh>
    <rPh sb="3" eb="5">
      <t>カガク</t>
    </rPh>
    <rPh sb="8" eb="11">
      <t>ミツモリショ</t>
    </rPh>
    <rPh sb="12" eb="13">
      <t>ミ</t>
    </rPh>
    <rPh sb="15" eb="17">
      <t>セツビ</t>
    </rPh>
    <rPh sb="20" eb="22">
      <t>コウニュウ</t>
    </rPh>
    <rPh sb="22" eb="23">
      <t>ガク</t>
    </rPh>
    <rPh sb="24" eb="26">
      <t>ゼイヌキ</t>
    </rPh>
    <rPh sb="28" eb="30">
      <t>キニュウ</t>
    </rPh>
    <phoneticPr fontId="2"/>
  </si>
  <si>
    <t>②耐用年数・・・設備毎に耐用年数表の値を記入してください</t>
    <rPh sb="1" eb="3">
      <t>タイヨウ</t>
    </rPh>
    <rPh sb="3" eb="5">
      <t>ネンスウ</t>
    </rPh>
    <rPh sb="8" eb="10">
      <t>セツビ</t>
    </rPh>
    <rPh sb="10" eb="11">
      <t>ゴト</t>
    </rPh>
    <rPh sb="12" eb="14">
      <t>タイヨウ</t>
    </rPh>
    <rPh sb="14" eb="16">
      <t>ネンスウ</t>
    </rPh>
    <rPh sb="16" eb="17">
      <t>ヒョウ</t>
    </rPh>
    <rPh sb="18" eb="19">
      <t>アタイ</t>
    </rPh>
    <rPh sb="20" eb="22">
      <t>キニュウ</t>
    </rPh>
    <phoneticPr fontId="2"/>
  </si>
  <si>
    <t>(参考)耐用年数表</t>
  </si>
  <si>
    <t>(参考2)耐用年数 別表2（上記にない場合）</t>
    <rPh sb="1" eb="3">
      <t>サンコウ</t>
    </rPh>
    <rPh sb="5" eb="7">
      <t>タイヨウ</t>
    </rPh>
    <rPh sb="7" eb="9">
      <t>ネンスウ</t>
    </rPh>
    <rPh sb="10" eb="12">
      <t>ベッピョウ</t>
    </rPh>
    <rPh sb="14" eb="16">
      <t>ジョウキ</t>
    </rPh>
    <rPh sb="19" eb="21">
      <t>バアイ</t>
    </rPh>
    <phoneticPr fontId="2"/>
  </si>
  <si>
    <t>購入する設備名称</t>
    <rPh sb="0" eb="2">
      <t>コウニュウ</t>
    </rPh>
    <rPh sb="4" eb="6">
      <t>セツビ</t>
    </rPh>
    <rPh sb="6" eb="8">
      <t>メイショウ</t>
    </rPh>
    <phoneticPr fontId="2"/>
  </si>
  <si>
    <t>取得価額(税抜)</t>
    <rPh sb="0" eb="2">
      <t>シュトク</t>
    </rPh>
    <rPh sb="2" eb="4">
      <t>カガク</t>
    </rPh>
    <rPh sb="5" eb="7">
      <t>ゼイヌキ</t>
    </rPh>
    <phoneticPr fontId="2"/>
  </si>
  <si>
    <t>耐用年数</t>
    <rPh sb="0" eb="2">
      <t>タイヨウ</t>
    </rPh>
    <rPh sb="2" eb="4">
      <t>ネンスウ</t>
    </rPh>
    <phoneticPr fontId="2"/>
  </si>
  <si>
    <t>残存価額</t>
    <rPh sb="0" eb="2">
      <t>ザンソン</t>
    </rPh>
    <rPh sb="2" eb="4">
      <t>カガク</t>
    </rPh>
    <phoneticPr fontId="2"/>
  </si>
  <si>
    <t>設備Ａ</t>
    <rPh sb="0" eb="2">
      <t>セツビ</t>
    </rPh>
    <phoneticPr fontId="2"/>
  </si>
  <si>
    <t>設備Ｂ</t>
    <rPh sb="0" eb="2">
      <t>セツビ</t>
    </rPh>
    <phoneticPr fontId="2"/>
  </si>
  <si>
    <t>設備Ｃ</t>
    <rPh sb="0" eb="2">
      <t>セツビ</t>
    </rPh>
    <phoneticPr fontId="2"/>
  </si>
  <si>
    <t>設備Ｄ</t>
    <rPh sb="0" eb="2">
      <t>セツビ</t>
    </rPh>
    <phoneticPr fontId="2"/>
  </si>
  <si>
    <t>設備Ｅ</t>
    <rPh sb="0" eb="2">
      <t>セツビ</t>
    </rPh>
    <phoneticPr fontId="2"/>
  </si>
  <si>
    <t>設備Ｆ</t>
    <rPh sb="0" eb="2">
      <t>セツビ</t>
    </rPh>
    <phoneticPr fontId="2"/>
  </si>
  <si>
    <t>設備G</t>
    <rPh sb="0" eb="2">
      <t>セツビ</t>
    </rPh>
    <phoneticPr fontId="2"/>
  </si>
  <si>
    <t>設備H</t>
    <rPh sb="0" eb="2">
      <t>セツビ</t>
    </rPh>
    <phoneticPr fontId="2"/>
  </si>
  <si>
    <t>合計</t>
    <rPh sb="0" eb="2">
      <t>ゴウケイ</t>
    </rPh>
    <phoneticPr fontId="2"/>
  </si>
  <si>
    <t>減価償却累計額（総合計）</t>
    <rPh sb="0" eb="2">
      <t>ゲンカ</t>
    </rPh>
    <rPh sb="2" eb="4">
      <t>ショウキャク</t>
    </rPh>
    <rPh sb="4" eb="7">
      <t>ルイケイガク</t>
    </rPh>
    <rPh sb="8" eb="9">
      <t>ソウ</t>
    </rPh>
    <rPh sb="9" eb="11">
      <t>ゴウケイ</t>
    </rPh>
    <phoneticPr fontId="2"/>
  </si>
  <si>
    <t>※減価償却費は、設備を期首取得したものとして計算（定率法）</t>
    <rPh sb="1" eb="3">
      <t>ゲンカ</t>
    </rPh>
    <rPh sb="3" eb="5">
      <t>ショウキャク</t>
    </rPh>
    <rPh sb="5" eb="6">
      <t>ヒ</t>
    </rPh>
    <rPh sb="8" eb="10">
      <t>セツビ</t>
    </rPh>
    <rPh sb="11" eb="13">
      <t>キシュ</t>
    </rPh>
    <rPh sb="13" eb="15">
      <t>シュトク</t>
    </rPh>
    <rPh sb="22" eb="24">
      <t>ケイサン</t>
    </rPh>
    <rPh sb="25" eb="28">
      <t>テイリツホウ</t>
    </rPh>
    <rPh sb="27" eb="28">
      <t>ホウ</t>
    </rPh>
    <phoneticPr fontId="2"/>
  </si>
  <si>
    <t>６．金融費用（支払利息の算出）</t>
    <rPh sb="2" eb="4">
      <t>キンユウ</t>
    </rPh>
    <rPh sb="4" eb="6">
      <t>ヒヨウ</t>
    </rPh>
    <rPh sb="7" eb="9">
      <t>シハライ</t>
    </rPh>
    <rPh sb="9" eb="11">
      <t>リソク</t>
    </rPh>
    <rPh sb="12" eb="14">
      <t>サンシュツ</t>
    </rPh>
    <phoneticPr fontId="2"/>
  </si>
  <si>
    <t>１．金融費用比率の計算</t>
    <rPh sb="2" eb="4">
      <t>キンユウ</t>
    </rPh>
    <rPh sb="4" eb="6">
      <t>ヒヨウ</t>
    </rPh>
    <rPh sb="6" eb="8">
      <t>ヒリツ</t>
    </rPh>
    <rPh sb="7" eb="8">
      <t>リツ</t>
    </rPh>
    <rPh sb="9" eb="11">
      <t>ケイサン</t>
    </rPh>
    <phoneticPr fontId="2"/>
  </si>
  <si>
    <t>　　今期と前期の支払利息を入力</t>
    <rPh sb="2" eb="4">
      <t>コンキ</t>
    </rPh>
    <rPh sb="5" eb="7">
      <t>ゼンキ</t>
    </rPh>
    <rPh sb="8" eb="10">
      <t>シハライ</t>
    </rPh>
    <rPh sb="10" eb="12">
      <t>リソク</t>
    </rPh>
    <rPh sb="13" eb="15">
      <t>ニュウリョク</t>
    </rPh>
    <phoneticPr fontId="2"/>
  </si>
  <si>
    <t>支払利息の額</t>
    <rPh sb="0" eb="2">
      <t>シハライ</t>
    </rPh>
    <rPh sb="2" eb="4">
      <t>リソク</t>
    </rPh>
    <rPh sb="5" eb="6">
      <t>ガク</t>
    </rPh>
    <phoneticPr fontId="2"/>
  </si>
  <si>
    <t>金融費用比率</t>
    <rPh sb="0" eb="2">
      <t>キンユウ</t>
    </rPh>
    <rPh sb="2" eb="4">
      <t>ヒヨウ</t>
    </rPh>
    <rPh sb="4" eb="6">
      <t>ヒリツ</t>
    </rPh>
    <phoneticPr fontId="2"/>
  </si>
  <si>
    <t>※損益計算書を見て、「支払利息」÷「売上高」×100で割合を記載する</t>
    <rPh sb="1" eb="3">
      <t>ソンエキ</t>
    </rPh>
    <rPh sb="3" eb="6">
      <t>ケイサンショ</t>
    </rPh>
    <rPh sb="7" eb="8">
      <t>ミ</t>
    </rPh>
    <rPh sb="11" eb="13">
      <t>シハライ</t>
    </rPh>
    <rPh sb="13" eb="15">
      <t>リソク</t>
    </rPh>
    <rPh sb="18" eb="20">
      <t>ウリアゲ</t>
    </rPh>
    <rPh sb="20" eb="21">
      <t>ダカ</t>
    </rPh>
    <rPh sb="27" eb="29">
      <t>ワリアイ</t>
    </rPh>
    <rPh sb="30" eb="32">
      <t>キサイ</t>
    </rPh>
    <phoneticPr fontId="2"/>
  </si>
  <si>
    <t>※2年間の平均</t>
    <rPh sb="2" eb="4">
      <t>ネンカン</t>
    </rPh>
    <rPh sb="5" eb="7">
      <t>ヘイキン</t>
    </rPh>
    <phoneticPr fontId="2"/>
  </si>
  <si>
    <t>※過去２年間の金融費用比率を参考に、5年間の支払利息算出（営業外費用）を行う。</t>
    <rPh sb="1" eb="3">
      <t>カコ</t>
    </rPh>
    <rPh sb="4" eb="5">
      <t>ネン</t>
    </rPh>
    <rPh sb="5" eb="6">
      <t>カン</t>
    </rPh>
    <rPh sb="7" eb="9">
      <t>キンユウ</t>
    </rPh>
    <rPh sb="9" eb="11">
      <t>ヒヨウ</t>
    </rPh>
    <rPh sb="11" eb="13">
      <t>ヒリツ</t>
    </rPh>
    <rPh sb="14" eb="16">
      <t>サンコウ</t>
    </rPh>
    <rPh sb="19" eb="21">
      <t>ネンカン</t>
    </rPh>
    <rPh sb="22" eb="24">
      <t>シハライ</t>
    </rPh>
    <rPh sb="24" eb="26">
      <t>リソク</t>
    </rPh>
    <rPh sb="26" eb="28">
      <t>サンシュツ</t>
    </rPh>
    <rPh sb="29" eb="32">
      <t>エイギョウガイ</t>
    </rPh>
    <rPh sb="32" eb="34">
      <t>ヒヨウ</t>
    </rPh>
    <rPh sb="36" eb="37">
      <t>オコナ</t>
    </rPh>
    <phoneticPr fontId="2"/>
  </si>
  <si>
    <t>※申請書で記載する"借入金額"を記載しましょう</t>
    <rPh sb="1" eb="4">
      <t>シンセイショ</t>
    </rPh>
    <rPh sb="5" eb="7">
      <t>キサイ</t>
    </rPh>
    <rPh sb="10" eb="12">
      <t>カリイレ</t>
    </rPh>
    <rPh sb="12" eb="13">
      <t>キン</t>
    </rPh>
    <rPh sb="13" eb="14">
      <t>ガク</t>
    </rPh>
    <rPh sb="16" eb="18">
      <t>キサイ</t>
    </rPh>
    <phoneticPr fontId="2"/>
  </si>
  <si>
    <t>①支払金利の設定</t>
    <rPh sb="1" eb="3">
      <t>シハライ</t>
    </rPh>
    <rPh sb="3" eb="5">
      <t>キンリ</t>
    </rPh>
    <rPh sb="6" eb="8">
      <t>セッテイ</t>
    </rPh>
    <phoneticPr fontId="2"/>
  </si>
  <si>
    <t>／年</t>
    <rPh sb="1" eb="2">
      <t>ネン</t>
    </rPh>
    <phoneticPr fontId="2"/>
  </si>
  <si>
    <t>②借入金額</t>
    <rPh sb="1" eb="3">
      <t>カリイレ</t>
    </rPh>
    <rPh sb="3" eb="5">
      <t>キンガク</t>
    </rPh>
    <phoneticPr fontId="2"/>
  </si>
  <si>
    <t>円</t>
    <rPh sb="0" eb="1">
      <t>エン</t>
    </rPh>
    <phoneticPr fontId="2"/>
  </si>
  <si>
    <t>③支払利息</t>
    <rPh sb="1" eb="3">
      <t>シハライ</t>
    </rPh>
    <rPh sb="3" eb="5">
      <t>リソク</t>
    </rPh>
    <phoneticPr fontId="2"/>
  </si>
  <si>
    <t>※短期借入金を想定しており、１年後の営業外費用欄にのみ、自動計算されます。</t>
    <rPh sb="1" eb="3">
      <t>タンキ</t>
    </rPh>
    <rPh sb="3" eb="5">
      <t>カリイレ</t>
    </rPh>
    <rPh sb="5" eb="6">
      <t>キン</t>
    </rPh>
    <rPh sb="7" eb="9">
      <t>ソウテイ</t>
    </rPh>
    <rPh sb="15" eb="17">
      <t>ネンゴ</t>
    </rPh>
    <rPh sb="18" eb="21">
      <t>エイギョウガイ</t>
    </rPh>
    <rPh sb="21" eb="23">
      <t>ヒヨウ</t>
    </rPh>
    <rPh sb="23" eb="24">
      <t>ラン</t>
    </rPh>
    <rPh sb="28" eb="30">
      <t>ジドウ</t>
    </rPh>
    <rPh sb="30" eb="32">
      <t>ケイサン</t>
    </rPh>
    <phoneticPr fontId="2"/>
  </si>
  <si>
    <t>７．申請要件のチェック</t>
    <rPh sb="2" eb="4">
      <t>シンセイ</t>
    </rPh>
    <rPh sb="4" eb="6">
      <t>ヨウケン</t>
    </rPh>
    <phoneticPr fontId="2"/>
  </si>
  <si>
    <t>　チェック結果がＯＫならば次へ</t>
    <rPh sb="5" eb="7">
      <t>ケッカ</t>
    </rPh>
    <rPh sb="13" eb="14">
      <t>ツギ</t>
    </rPh>
    <phoneticPr fontId="2"/>
  </si>
  <si>
    <t>要件</t>
    <rPh sb="0" eb="2">
      <t>ヨウケン</t>
    </rPh>
    <phoneticPr fontId="2"/>
  </si>
  <si>
    <t>年率（平均）</t>
    <rPh sb="0" eb="2">
      <t>ネンリツ</t>
    </rPh>
    <rPh sb="3" eb="5">
      <t>ヘイキン</t>
    </rPh>
    <phoneticPr fontId="2"/>
  </si>
  <si>
    <t>計算値（５年後）</t>
    <rPh sb="0" eb="3">
      <t>ケイサンチ</t>
    </rPh>
    <rPh sb="5" eb="7">
      <t>ネンゴ</t>
    </rPh>
    <phoneticPr fontId="2"/>
  </si>
  <si>
    <t>チェック結果</t>
    <rPh sb="4" eb="6">
      <t>ケッカ</t>
    </rPh>
    <phoneticPr fontId="2"/>
  </si>
  <si>
    <t>経常利益が右値以上</t>
    <rPh sb="0" eb="2">
      <t>ケイジョウ</t>
    </rPh>
    <rPh sb="2" eb="4">
      <t>リエキ</t>
    </rPh>
    <rPh sb="5" eb="6">
      <t>ミギ</t>
    </rPh>
    <rPh sb="6" eb="7">
      <t>アタイ</t>
    </rPh>
    <rPh sb="7" eb="9">
      <t>イジョウ</t>
    </rPh>
    <phoneticPr fontId="2"/>
  </si>
  <si>
    <r>
      <t>　「経常利益」　対前年比が　</t>
    </r>
    <r>
      <rPr>
        <b/>
        <u/>
        <sz val="11"/>
        <color rgb="FFFF0000"/>
        <rFont val="游ゴシック"/>
        <family val="3"/>
        <charset val="128"/>
        <scheme val="minor"/>
      </rPr>
      <t>年率１％以上の伸び（５年後５％以上）</t>
    </r>
    <r>
      <rPr>
        <sz val="11"/>
        <color rgb="FFFF0000"/>
        <rFont val="游ゴシック"/>
        <family val="2"/>
        <scheme val="minor"/>
      </rPr>
      <t>となっているか</t>
    </r>
    <rPh sb="2" eb="4">
      <t>ケイジョウ</t>
    </rPh>
    <rPh sb="4" eb="6">
      <t>リエキ</t>
    </rPh>
    <rPh sb="8" eb="9">
      <t>タイ</t>
    </rPh>
    <rPh sb="9" eb="12">
      <t>ゼンネンヒ</t>
    </rPh>
    <rPh sb="25" eb="27">
      <t>ネンゴ</t>
    </rPh>
    <rPh sb="29" eb="31">
      <t>イジョウ</t>
    </rPh>
    <phoneticPr fontId="2"/>
  </si>
  <si>
    <t>付加価値額が右値以上</t>
    <rPh sb="0" eb="2">
      <t>フカ</t>
    </rPh>
    <rPh sb="2" eb="4">
      <t>カチ</t>
    </rPh>
    <rPh sb="4" eb="5">
      <t>ガク</t>
    </rPh>
    <phoneticPr fontId="2"/>
  </si>
  <si>
    <r>
      <t>　「付加価値額」　対前年比が　</t>
    </r>
    <r>
      <rPr>
        <b/>
        <u/>
        <sz val="11"/>
        <color rgb="FFFF0000"/>
        <rFont val="游ゴシック"/>
        <family val="3"/>
        <charset val="128"/>
        <scheme val="minor"/>
      </rPr>
      <t>年率３％以上の伸び（５年後１５％以上）</t>
    </r>
    <r>
      <rPr>
        <sz val="11"/>
        <color rgb="FFFF0000"/>
        <rFont val="游ゴシック"/>
        <family val="3"/>
        <charset val="128"/>
        <scheme val="minor"/>
      </rPr>
      <t>となっているか</t>
    </r>
    <rPh sb="2" eb="4">
      <t>フカ</t>
    </rPh>
    <rPh sb="4" eb="6">
      <t>カチ</t>
    </rPh>
    <rPh sb="6" eb="7">
      <t>ガク</t>
    </rPh>
    <rPh sb="26" eb="28">
      <t>ネンゴ</t>
    </rPh>
    <rPh sb="31" eb="33">
      <t>イジョウ</t>
    </rPh>
    <phoneticPr fontId="2"/>
  </si>
  <si>
    <t>投資利益率が右値以上</t>
    <rPh sb="0" eb="2">
      <t>トウシ</t>
    </rPh>
    <rPh sb="2" eb="4">
      <t>リエキ</t>
    </rPh>
    <rPh sb="4" eb="5">
      <t>リツ</t>
    </rPh>
    <phoneticPr fontId="2"/>
  </si>
  <si>
    <r>
      <t>　「投資利益率」が　</t>
    </r>
    <r>
      <rPr>
        <b/>
        <u/>
        <sz val="11"/>
        <color rgb="FFFF0000"/>
        <rFont val="游ゴシック"/>
        <family val="3"/>
        <charset val="128"/>
        <scheme val="minor"/>
      </rPr>
      <t>５％以上（４年後）</t>
    </r>
    <r>
      <rPr>
        <sz val="11"/>
        <color rgb="FFFF0000"/>
        <rFont val="游ゴシック"/>
        <family val="2"/>
        <scheme val="minor"/>
      </rPr>
      <t>を達成しているか　※高度生産性型のみ</t>
    </r>
    <rPh sb="16" eb="18">
      <t>ネンゴ</t>
    </rPh>
    <phoneticPr fontId="2"/>
  </si>
  <si>
    <t>８．計算結果を申請書に転記する。</t>
    <rPh sb="2" eb="4">
      <t>ケイサン</t>
    </rPh>
    <rPh sb="4" eb="6">
      <t>ケッカ</t>
    </rPh>
    <rPh sb="7" eb="10">
      <t>シンセイショ</t>
    </rPh>
    <rPh sb="11" eb="13">
      <t>テンキ</t>
    </rPh>
    <phoneticPr fontId="2"/>
  </si>
  <si>
    <t>　　コピペ先：　「その２　将来の展望・・・」の事業計画欄（数値を埋める部分）</t>
    <rPh sb="5" eb="6">
      <t>サキ</t>
    </rPh>
    <rPh sb="13" eb="15">
      <t>ショウライ</t>
    </rPh>
    <rPh sb="16" eb="18">
      <t>テンボウ</t>
    </rPh>
    <rPh sb="23" eb="25">
      <t>ジギョウ</t>
    </rPh>
    <rPh sb="25" eb="27">
      <t>ケイカク</t>
    </rPh>
    <rPh sb="27" eb="28">
      <t>ラン</t>
    </rPh>
    <rPh sb="29" eb="31">
      <t>スウチ</t>
    </rPh>
    <rPh sb="32" eb="33">
      <t>ウ</t>
    </rPh>
    <rPh sb="35" eb="37">
      <t>ブブン</t>
    </rPh>
    <phoneticPr fontId="2"/>
  </si>
  <si>
    <t>　　①当EXCELファイルの別シート「コピペ用」の該当部をコピー</t>
    <rPh sb="3" eb="4">
      <t>トウ</t>
    </rPh>
    <rPh sb="14" eb="15">
      <t>ベツ</t>
    </rPh>
    <rPh sb="22" eb="23">
      <t>ヨウ</t>
    </rPh>
    <rPh sb="25" eb="27">
      <t>ガイトウ</t>
    </rPh>
    <rPh sb="27" eb="28">
      <t>ブ</t>
    </rPh>
    <phoneticPr fontId="2"/>
  </si>
  <si>
    <t>　　②申請書に貼りつけ　　※貼り付け方注意</t>
    <rPh sb="3" eb="6">
      <t>シンセイショ</t>
    </rPh>
    <rPh sb="7" eb="8">
      <t>ハ</t>
    </rPh>
    <rPh sb="14" eb="15">
      <t>ハ</t>
    </rPh>
    <rPh sb="16" eb="17">
      <t>ツ</t>
    </rPh>
    <rPh sb="18" eb="19">
      <t>カタ</t>
    </rPh>
    <rPh sb="19" eb="21">
      <t>チュウイ</t>
    </rPh>
    <phoneticPr fontId="2"/>
  </si>
  <si>
    <t>　　</t>
    <phoneticPr fontId="2"/>
  </si>
  <si>
    <t>　　　　</t>
    <phoneticPr fontId="2"/>
  </si>
  <si>
    <t>【参考】①生産性分析　　</t>
    <rPh sb="1" eb="3">
      <t>サンコウ</t>
    </rPh>
    <rPh sb="5" eb="8">
      <t>セイサンセイ</t>
    </rPh>
    <rPh sb="8" eb="10">
      <t>ブンセキ</t>
    </rPh>
    <phoneticPr fontId="2"/>
  </si>
  <si>
    <t>「有形固定資産」・・・直近の貸借対照表　「有形固定資産」の合計額を記入</t>
    <rPh sb="1" eb="3">
      <t>ユウケイ</t>
    </rPh>
    <rPh sb="3" eb="5">
      <t>コテイ</t>
    </rPh>
    <rPh sb="5" eb="7">
      <t>シサン</t>
    </rPh>
    <rPh sb="11" eb="13">
      <t>チョッキン</t>
    </rPh>
    <rPh sb="14" eb="16">
      <t>タイシャク</t>
    </rPh>
    <rPh sb="16" eb="19">
      <t>タイショウヒョウ</t>
    </rPh>
    <rPh sb="21" eb="23">
      <t>ユウケイ</t>
    </rPh>
    <rPh sb="23" eb="25">
      <t>コテイ</t>
    </rPh>
    <rPh sb="25" eb="27">
      <t>シサン</t>
    </rPh>
    <rPh sb="29" eb="31">
      <t>ゴウケイ</t>
    </rPh>
    <rPh sb="31" eb="32">
      <t>ガク</t>
    </rPh>
    <rPh sb="33" eb="35">
      <t>キニュウ</t>
    </rPh>
    <phoneticPr fontId="2"/>
  </si>
  <si>
    <t>「従業員数」・・・事業実施前と５年後の人数を記入（定年退職の自然減分を補う採用計画であれば、同じ数字を入れる）</t>
    <rPh sb="9" eb="11">
      <t>ジギョウ</t>
    </rPh>
    <rPh sb="11" eb="13">
      <t>ジッシ</t>
    </rPh>
    <rPh sb="13" eb="14">
      <t>マエ</t>
    </rPh>
    <rPh sb="16" eb="18">
      <t>ネンゴ</t>
    </rPh>
    <rPh sb="19" eb="21">
      <t>ニンズウ</t>
    </rPh>
    <rPh sb="22" eb="24">
      <t>キニュウ</t>
    </rPh>
    <rPh sb="25" eb="27">
      <t>テイネン</t>
    </rPh>
    <rPh sb="27" eb="29">
      <t>タイショク</t>
    </rPh>
    <rPh sb="30" eb="33">
      <t>シゼンゲン</t>
    </rPh>
    <rPh sb="33" eb="34">
      <t>ブン</t>
    </rPh>
    <rPh sb="35" eb="36">
      <t>オギナ</t>
    </rPh>
    <rPh sb="37" eb="39">
      <t>サイヨウ</t>
    </rPh>
    <rPh sb="39" eb="41">
      <t>ケイカク</t>
    </rPh>
    <rPh sb="46" eb="47">
      <t>オナ</t>
    </rPh>
    <rPh sb="48" eb="50">
      <t>スウジ</t>
    </rPh>
    <rPh sb="51" eb="52">
      <t>イ</t>
    </rPh>
    <phoneticPr fontId="2"/>
  </si>
  <si>
    <t>実施前</t>
    <rPh sb="0" eb="2">
      <t>ジッシ</t>
    </rPh>
    <rPh sb="2" eb="3">
      <t>マエ</t>
    </rPh>
    <phoneticPr fontId="2"/>
  </si>
  <si>
    <t>５年後</t>
    <rPh sb="1" eb="2">
      <t>ネン</t>
    </rPh>
    <rPh sb="2" eb="3">
      <t>ゴ</t>
    </rPh>
    <phoneticPr fontId="2"/>
  </si>
  <si>
    <r>
      <t>参考例文
　■生産性指標の向上</t>
    </r>
    <r>
      <rPr>
        <sz val="9"/>
        <rFont val="游ゴシック"/>
        <family val="3"/>
        <charset val="128"/>
        <scheme val="minor"/>
      </rPr>
      <t xml:space="preserve">
　　本補助事業による設備投資、営業拡大により下記、生産性向上を見込むことができる。</t>
    </r>
    <r>
      <rPr>
        <b/>
        <sz val="9"/>
        <rFont val="游ゴシック"/>
        <family val="3"/>
        <charset val="128"/>
        <scheme val="minor"/>
      </rPr>
      <t xml:space="preserve">
</t>
    </r>
    <r>
      <rPr>
        <sz val="9"/>
        <rFont val="游ゴシック"/>
        <family val="3"/>
        <charset val="128"/>
        <scheme val="minor"/>
      </rPr>
      <t xml:space="preserve">　　※実施前：従業員数○○名、有形固定資産 〇〇〇〇〇千円
　　※実施後：従業員数○○名、有形固定資産 〇〇〇〇〇千円
　　・売上増大を要因として②が向上し、生産効率化による製造原価低減により変動費を
　　　抑制できるため、限界利益率が向上し③が上昇する。
　　・営業利益増加を要因として付加価値額が上昇し①⑤⑥が向上。
　　・設備投資による固定費上昇分を大幅な受注増が吸収するため、相対的に固定費率を
　　　押し下げることになり、確保できる貢献利益が上昇することで④が向上する。
　　　また、有形固定資産額が上昇するが同様の要因で資本効率が上昇するため⑦も向上する。
　　・有形固定資産、従業員共に増加すると同時に本事業の設備投資により合理性が増し、⑧が上昇する。
</t>
    </r>
    <rPh sb="0" eb="2">
      <t>サンコウ</t>
    </rPh>
    <rPh sb="2" eb="4">
      <t>レイブン</t>
    </rPh>
    <rPh sb="325" eb="327">
      <t>シホン</t>
    </rPh>
    <rPh sb="327" eb="329">
      <t>コウリツ</t>
    </rPh>
    <rPh sb="330" eb="332">
      <t>ジョウショウ</t>
    </rPh>
    <rPh sb="347" eb="349">
      <t>ユウケイ</t>
    </rPh>
    <rPh sb="349" eb="351">
      <t>コテイ</t>
    </rPh>
    <rPh sb="351" eb="353">
      <t>シサン</t>
    </rPh>
    <rPh sb="354" eb="357">
      <t>ジュウギョウイン</t>
    </rPh>
    <rPh sb="357" eb="358">
      <t>トモ</t>
    </rPh>
    <rPh sb="359" eb="361">
      <t>ゾウカ</t>
    </rPh>
    <rPh sb="364" eb="366">
      <t>ドウジ</t>
    </rPh>
    <rPh sb="367" eb="368">
      <t>ホン</t>
    </rPh>
    <rPh sb="368" eb="370">
      <t>ジギョウ</t>
    </rPh>
    <rPh sb="371" eb="373">
      <t>セツビ</t>
    </rPh>
    <rPh sb="373" eb="375">
      <t>トウシ</t>
    </rPh>
    <rPh sb="378" eb="381">
      <t>ゴウリセイ</t>
    </rPh>
    <rPh sb="382" eb="383">
      <t>マ</t>
    </rPh>
    <rPh sb="387" eb="389">
      <t>ジョウショウ</t>
    </rPh>
    <phoneticPr fontId="2"/>
  </si>
  <si>
    <t>有形固定資産</t>
    <rPh sb="0" eb="2">
      <t>ユウケイ</t>
    </rPh>
    <rPh sb="2" eb="4">
      <t>コテイ</t>
    </rPh>
    <rPh sb="4" eb="6">
      <t>シサン</t>
    </rPh>
    <phoneticPr fontId="2"/>
  </si>
  <si>
    <t>生産性指標</t>
    <rPh sb="0" eb="3">
      <t>セイサンセイ</t>
    </rPh>
    <rPh sb="3" eb="5">
      <t>シヒョウ</t>
    </rPh>
    <phoneticPr fontId="2"/>
  </si>
  <si>
    <t>向上率</t>
    <rPh sb="0" eb="2">
      <t>コウジョウ</t>
    </rPh>
    <rPh sb="2" eb="3">
      <t>リツ</t>
    </rPh>
    <phoneticPr fontId="2"/>
  </si>
  <si>
    <t>従業員数</t>
    <rPh sb="0" eb="3">
      <t>ジュウギョウイン</t>
    </rPh>
    <rPh sb="3" eb="4">
      <t>スウ</t>
    </rPh>
    <phoneticPr fontId="2"/>
  </si>
  <si>
    <t>※向上率の値がプラス値となっている生産性指標のみを採用すること</t>
    <rPh sb="1" eb="3">
      <t>コウジョウ</t>
    </rPh>
    <rPh sb="3" eb="4">
      <t>リツ</t>
    </rPh>
    <rPh sb="5" eb="6">
      <t>アタイ</t>
    </rPh>
    <rPh sb="10" eb="11">
      <t>チ</t>
    </rPh>
    <rPh sb="17" eb="20">
      <t>セイサンセイ</t>
    </rPh>
    <rPh sb="20" eb="22">
      <t>シヒョウ</t>
    </rPh>
    <rPh sb="25" eb="27">
      <t>サイヨウ</t>
    </rPh>
    <phoneticPr fontId="2"/>
  </si>
  <si>
    <t>【参考】②CVP分析　　※余裕のある人だけ取り組んでください。不明点は個別問合せください。</t>
    <rPh sb="8" eb="10">
      <t>ブンセキ</t>
    </rPh>
    <rPh sb="13" eb="15">
      <t>ヨユウ</t>
    </rPh>
    <rPh sb="18" eb="19">
      <t>ヒト</t>
    </rPh>
    <rPh sb="21" eb="22">
      <t>ト</t>
    </rPh>
    <rPh sb="23" eb="24">
      <t>ク</t>
    </rPh>
    <rPh sb="31" eb="34">
      <t>フメイテン</t>
    </rPh>
    <rPh sb="35" eb="37">
      <t>コベツ</t>
    </rPh>
    <rPh sb="37" eb="39">
      <t>トイアワ</t>
    </rPh>
    <phoneticPr fontId="2"/>
  </si>
  <si>
    <t>※ワーク用計算シート（申請書には貼らないでください、変動費、固定費の設定が精緻でないため）</t>
    <rPh sb="4" eb="5">
      <t>ヨウ</t>
    </rPh>
    <rPh sb="5" eb="7">
      <t>ケイサン</t>
    </rPh>
    <rPh sb="11" eb="14">
      <t>シンセイショ</t>
    </rPh>
    <rPh sb="16" eb="17">
      <t>ハ</t>
    </rPh>
    <rPh sb="26" eb="28">
      <t>ヘンドウ</t>
    </rPh>
    <rPh sb="28" eb="29">
      <t>ヒ</t>
    </rPh>
    <rPh sb="30" eb="33">
      <t>コテイヒ</t>
    </rPh>
    <rPh sb="34" eb="36">
      <t>セッテイ</t>
    </rPh>
    <rPh sb="37" eb="39">
      <t>セイチ</t>
    </rPh>
    <phoneticPr fontId="2"/>
  </si>
  <si>
    <t>直近</t>
    <rPh sb="0" eb="2">
      <t>チョッキン</t>
    </rPh>
    <phoneticPr fontId="2"/>
  </si>
  <si>
    <t>売上高</t>
    <rPh sb="0" eb="2">
      <t>ウリアゲ</t>
    </rPh>
    <rPh sb="2" eb="3">
      <t>ダカ</t>
    </rPh>
    <phoneticPr fontId="2"/>
  </si>
  <si>
    <t>変動費</t>
    <rPh sb="0" eb="2">
      <t>ヘンドウ</t>
    </rPh>
    <rPh sb="2" eb="3">
      <t>ヒ</t>
    </rPh>
    <phoneticPr fontId="2"/>
  </si>
  <si>
    <t>変動費率</t>
  </si>
  <si>
    <t>限界利益</t>
    <rPh sb="0" eb="2">
      <t>ゲンカイ</t>
    </rPh>
    <rPh sb="2" eb="4">
      <t>リエキ</t>
    </rPh>
    <phoneticPr fontId="2"/>
  </si>
  <si>
    <t>限界利益率</t>
    <rPh sb="0" eb="2">
      <t>ゲンカイ</t>
    </rPh>
    <rPh sb="2" eb="4">
      <t>リエキ</t>
    </rPh>
    <rPh sb="4" eb="5">
      <t>リツ</t>
    </rPh>
    <phoneticPr fontId="2"/>
  </si>
  <si>
    <t>固定費</t>
    <rPh sb="0" eb="3">
      <t>コテイヒ</t>
    </rPh>
    <phoneticPr fontId="2"/>
  </si>
  <si>
    <t>貢献利益</t>
    <rPh sb="0" eb="2">
      <t>コウケン</t>
    </rPh>
    <rPh sb="2" eb="4">
      <t>リエキ</t>
    </rPh>
    <phoneticPr fontId="2"/>
  </si>
  <si>
    <t>貢献利益率</t>
    <rPh sb="0" eb="2">
      <t>コウケン</t>
    </rPh>
    <rPh sb="2" eb="4">
      <t>リエキ</t>
    </rPh>
    <rPh sb="4" eb="5">
      <t>リツ</t>
    </rPh>
    <phoneticPr fontId="2"/>
  </si>
  <si>
    <t>損益分岐点売上高</t>
    <rPh sb="0" eb="2">
      <t>ソンエキ</t>
    </rPh>
    <rPh sb="2" eb="5">
      <t>ブンキテン</t>
    </rPh>
    <rPh sb="5" eb="7">
      <t>ウリアゲ</t>
    </rPh>
    <rPh sb="7" eb="8">
      <t>ダカ</t>
    </rPh>
    <phoneticPr fontId="2"/>
  </si>
  <si>
    <t>損益分岐点比率</t>
    <rPh sb="0" eb="2">
      <t>ソンエキ</t>
    </rPh>
    <rPh sb="2" eb="5">
      <t>ブンキテン</t>
    </rPh>
    <rPh sb="5" eb="7">
      <t>ヒリツ</t>
    </rPh>
    <phoneticPr fontId="2"/>
  </si>
  <si>
    <t>販間費</t>
    <rPh sb="0" eb="3">
      <t>ハンカンヒ</t>
    </rPh>
    <phoneticPr fontId="2"/>
  </si>
  <si>
    <t>支払費用</t>
    <rPh sb="0" eb="2">
      <t>シハライ</t>
    </rPh>
    <rPh sb="2" eb="4">
      <t>ヒヨウ</t>
    </rPh>
    <phoneticPr fontId="2"/>
  </si>
  <si>
    <t>※申請書には、下記表のみを採用する事</t>
    <rPh sb="1" eb="4">
      <t>シンセイショ</t>
    </rPh>
    <rPh sb="7" eb="9">
      <t>カキ</t>
    </rPh>
    <rPh sb="9" eb="10">
      <t>ヒョウ</t>
    </rPh>
    <rPh sb="13" eb="15">
      <t>サイヨウ</t>
    </rPh>
    <rPh sb="17" eb="18">
      <t>コト</t>
    </rPh>
    <phoneticPr fontId="2"/>
  </si>
  <si>
    <t>前期実績</t>
    <rPh sb="0" eb="2">
      <t>ゼンキ</t>
    </rPh>
    <rPh sb="2" eb="4">
      <t>ジッセキ</t>
    </rPh>
    <phoneticPr fontId="2"/>
  </si>
  <si>
    <t>推移</t>
    <rPh sb="0" eb="2">
      <t>スイイ</t>
    </rPh>
    <phoneticPr fontId="2"/>
  </si>
  <si>
    <r>
      <t xml:space="preserve">参考例文
</t>
    </r>
    <r>
      <rPr>
        <sz val="9"/>
        <rFont val="游ゴシック"/>
        <family val="3"/>
        <charset val="128"/>
        <scheme val="minor"/>
      </rPr>
      <t xml:space="preserve">損益分岐点比率の低下　　
　　～利益の出やすい体質へ～
　　　前述の「受注ロス解消」「増産要望の吸収」「多品種化による受注増」により、設備投資分の固定費や人件費増を上回る売上額が確保できることに加え、
　　　固定費の割合が相対的に低下することから、損益分岐点売上率を低下させる効果を生み出すことができ、より収益化を図りやすい経営体質になることが見込まれる。
</t>
    </r>
    <rPh sb="0" eb="2">
      <t>サンコウ</t>
    </rPh>
    <rPh sb="2" eb="4">
      <t>レイブン</t>
    </rPh>
    <phoneticPr fontId="2"/>
  </si>
  <si>
    <t>【参考】③労働生産性　　　※経営力向上計画などに使ってください</t>
    <rPh sb="5" eb="7">
      <t>ロウドウ</t>
    </rPh>
    <rPh sb="7" eb="10">
      <t>セイサンセイ</t>
    </rPh>
    <rPh sb="14" eb="16">
      <t>ケイエイ</t>
    </rPh>
    <rPh sb="16" eb="17">
      <t>リョク</t>
    </rPh>
    <rPh sb="17" eb="19">
      <t>コウジョウ</t>
    </rPh>
    <rPh sb="19" eb="21">
      <t>ケイカク</t>
    </rPh>
    <rPh sb="24" eb="25">
      <t>ツカ</t>
    </rPh>
    <phoneticPr fontId="2"/>
  </si>
  <si>
    <t>※付加価値額を従業員数で除算しています。</t>
    <rPh sb="1" eb="3">
      <t>フカ</t>
    </rPh>
    <rPh sb="3" eb="5">
      <t>カチ</t>
    </rPh>
    <rPh sb="5" eb="6">
      <t>ガク</t>
    </rPh>
    <rPh sb="7" eb="10">
      <t>ジュウギョウイン</t>
    </rPh>
    <rPh sb="10" eb="11">
      <t>スウ</t>
    </rPh>
    <rPh sb="12" eb="14">
      <t>ジョサン</t>
    </rPh>
    <phoneticPr fontId="2"/>
  </si>
  <si>
    <t>現状</t>
    <rPh sb="0" eb="2">
      <t>ゲンジョウ</t>
    </rPh>
    <phoneticPr fontId="2"/>
  </si>
  <si>
    <t>計画終了時</t>
    <rPh sb="0" eb="2">
      <t>ケイカク</t>
    </rPh>
    <rPh sb="2" eb="5">
      <t>シュウリョウジ</t>
    </rPh>
    <phoneticPr fontId="2"/>
  </si>
  <si>
    <t>伸び率</t>
    <rPh sb="0" eb="1">
      <t>ノ</t>
    </rPh>
    <rPh sb="2" eb="3">
      <t>リツ</t>
    </rPh>
    <phoneticPr fontId="2"/>
  </si>
  <si>
    <t>労働生産性（円単位）</t>
    <rPh sb="0" eb="2">
      <t>ロウドウ</t>
    </rPh>
    <rPh sb="2" eb="5">
      <t>セイサンセイ</t>
    </rPh>
    <rPh sb="6" eb="7">
      <t>エン</t>
    </rPh>
    <rPh sb="7" eb="9">
      <t>タンイ</t>
    </rPh>
    <phoneticPr fontId="2"/>
  </si>
  <si>
    <t>労働生産性（千円単位）</t>
    <rPh sb="0" eb="2">
      <t>ロウドウ</t>
    </rPh>
    <rPh sb="2" eb="5">
      <t>セイサンセイ</t>
    </rPh>
    <rPh sb="6" eb="8">
      <t>センエン</t>
    </rPh>
    <rPh sb="8" eb="10">
      <t>タンイ</t>
    </rPh>
    <phoneticPr fontId="2"/>
  </si>
  <si>
    <t>【参考】NPV法による投資の意思決定計算</t>
    <rPh sb="7" eb="8">
      <t>ホウ</t>
    </rPh>
    <rPh sb="11" eb="13">
      <t>トウシ</t>
    </rPh>
    <rPh sb="14" eb="16">
      <t>イシ</t>
    </rPh>
    <rPh sb="16" eb="18">
      <t>ケッテイ</t>
    </rPh>
    <rPh sb="18" eb="20">
      <t>ケイサン</t>
    </rPh>
    <phoneticPr fontId="2"/>
  </si>
  <si>
    <t>　　＜法人税の入力＞　　損益計算書を見て入力</t>
    <rPh sb="3" eb="6">
      <t>ホウジンゼイ</t>
    </rPh>
    <rPh sb="7" eb="9">
      <t>ニュウリョク</t>
    </rPh>
    <rPh sb="12" eb="14">
      <t>ソンエキ</t>
    </rPh>
    <rPh sb="14" eb="17">
      <t>ケイサンショ</t>
    </rPh>
    <rPh sb="18" eb="19">
      <t>ミ</t>
    </rPh>
    <rPh sb="20" eb="22">
      <t>ニュウリョク</t>
    </rPh>
    <phoneticPr fontId="55"/>
  </si>
  <si>
    <t>税引き前当期純利益</t>
    <rPh sb="0" eb="2">
      <t>ゼイビ</t>
    </rPh>
    <rPh sb="3" eb="4">
      <t>マエ</t>
    </rPh>
    <rPh sb="4" eb="6">
      <t>トウキ</t>
    </rPh>
    <rPh sb="6" eb="9">
      <t>ジュンリエキ</t>
    </rPh>
    <phoneticPr fontId="55"/>
  </si>
  <si>
    <t>法人税、住民税および事業税</t>
    <rPh sb="0" eb="3">
      <t>ホウジンゼイ</t>
    </rPh>
    <rPh sb="4" eb="7">
      <t>ジュウミンゼイ</t>
    </rPh>
    <rPh sb="10" eb="13">
      <t>ジギョウゼイ</t>
    </rPh>
    <phoneticPr fontId="55"/>
  </si>
  <si>
    <t>法人税率</t>
    <rPh sb="0" eb="2">
      <t>ホウジン</t>
    </rPh>
    <rPh sb="2" eb="4">
      <t>ゼイリツ</t>
    </rPh>
    <phoneticPr fontId="55"/>
  </si>
  <si>
    <t>　　＜資本情報の入力＞　貸借対照表から入力</t>
    <rPh sb="3" eb="5">
      <t>シホン</t>
    </rPh>
    <rPh sb="5" eb="7">
      <t>ジョウホウ</t>
    </rPh>
    <rPh sb="8" eb="10">
      <t>ニュウリョク</t>
    </rPh>
    <rPh sb="12" eb="14">
      <t>タイシャク</t>
    </rPh>
    <rPh sb="14" eb="17">
      <t>タイショウヒョウ</t>
    </rPh>
    <rPh sb="19" eb="21">
      <t>ニュウリョク</t>
    </rPh>
    <phoneticPr fontId="55"/>
  </si>
  <si>
    <t>資本金</t>
    <rPh sb="0" eb="3">
      <t>シホンキン</t>
    </rPh>
    <phoneticPr fontId="55"/>
  </si>
  <si>
    <t>円</t>
    <rPh sb="0" eb="1">
      <t>エン</t>
    </rPh>
    <phoneticPr fontId="55"/>
  </si>
  <si>
    <t>借入金</t>
    <rPh sb="0" eb="2">
      <t>カリイレ</t>
    </rPh>
    <rPh sb="2" eb="3">
      <t>キン</t>
    </rPh>
    <phoneticPr fontId="55"/>
  </si>
  <si>
    <r>
      <t>円　　　</t>
    </r>
    <r>
      <rPr>
        <sz val="9"/>
        <color theme="1"/>
        <rFont val="游ゴシック"/>
        <family val="3"/>
        <charset val="128"/>
        <scheme val="minor"/>
      </rPr>
      <t>※長期借入金＋短期借入金</t>
    </r>
    <rPh sb="0" eb="1">
      <t>エン</t>
    </rPh>
    <phoneticPr fontId="55"/>
  </si>
  <si>
    <t>株主資本コスト</t>
    <rPh sb="0" eb="2">
      <t>カブヌシ</t>
    </rPh>
    <rPh sb="2" eb="4">
      <t>シホン</t>
    </rPh>
    <phoneticPr fontId="55"/>
  </si>
  <si>
    <t>負債コスト</t>
    <rPh sb="0" eb="2">
      <t>フサイ</t>
    </rPh>
    <phoneticPr fontId="55"/>
  </si>
  <si>
    <t>資本コスト</t>
    <phoneticPr fontId="55"/>
  </si>
  <si>
    <t>　←WACCで計算</t>
    <rPh sb="7" eb="9">
      <t>ケイサン</t>
    </rPh>
    <phoneticPr fontId="55"/>
  </si>
  <si>
    <t>投資時点</t>
    <rPh sb="0" eb="2">
      <t>トウシ</t>
    </rPh>
    <rPh sb="2" eb="4">
      <t>ジテン</t>
    </rPh>
    <phoneticPr fontId="2"/>
  </si>
  <si>
    <t>1年後</t>
    <rPh sb="1" eb="3">
      <t>ネンゴ</t>
    </rPh>
    <phoneticPr fontId="2"/>
  </si>
  <si>
    <t>2年後</t>
    <rPh sb="1" eb="3">
      <t>ネンゴ</t>
    </rPh>
    <phoneticPr fontId="2"/>
  </si>
  <si>
    <t>3年後</t>
    <rPh sb="1" eb="3">
      <t>ネンゴ</t>
    </rPh>
    <phoneticPr fontId="2"/>
  </si>
  <si>
    <t>4年後</t>
    <rPh sb="1" eb="3">
      <t>ネンゴ</t>
    </rPh>
    <phoneticPr fontId="2"/>
  </si>
  <si>
    <t>5年後</t>
    <rPh sb="1" eb="3">
      <t>ネンゴ</t>
    </rPh>
    <phoneticPr fontId="2"/>
  </si>
  <si>
    <t>①CIF（営業CF）</t>
    <rPh sb="5" eb="7">
      <t>エイギョウ</t>
    </rPh>
    <phoneticPr fontId="2"/>
  </si>
  <si>
    <t>①'税引き後CIF（営業CF）</t>
    <rPh sb="2" eb="4">
      <t>ゼイビ</t>
    </rPh>
    <rPh sb="5" eb="6">
      <t>ゴ</t>
    </rPh>
    <rPh sb="10" eb="12">
      <t>エイギョウ</t>
    </rPh>
    <phoneticPr fontId="2"/>
  </si>
  <si>
    <t>　設備の減価償却費</t>
    <rPh sb="1" eb="3">
      <t>セツビ</t>
    </rPh>
    <rPh sb="4" eb="6">
      <t>ゲンカ</t>
    </rPh>
    <rPh sb="6" eb="8">
      <t>ショウキャク</t>
    </rPh>
    <rPh sb="8" eb="9">
      <t>ヒ</t>
    </rPh>
    <phoneticPr fontId="2"/>
  </si>
  <si>
    <t>②減価償却費のﾀｯｸｽｼｰﾙﾄﾞ</t>
    <rPh sb="1" eb="3">
      <t>ゲンカ</t>
    </rPh>
    <rPh sb="3" eb="5">
      <t>ショウキャク</t>
    </rPh>
    <rPh sb="5" eb="6">
      <t>ヒ</t>
    </rPh>
    <phoneticPr fontId="2"/>
  </si>
  <si>
    <t>正味CF計（①'＋②）</t>
    <rPh sb="0" eb="2">
      <t>ショウミ</t>
    </rPh>
    <rPh sb="4" eb="5">
      <t>ケイ</t>
    </rPh>
    <phoneticPr fontId="2"/>
  </si>
  <si>
    <t>割引率</t>
    <rPh sb="0" eb="2">
      <t>ワリビキ</t>
    </rPh>
    <rPh sb="2" eb="3">
      <t>リツ</t>
    </rPh>
    <phoneticPr fontId="2"/>
  </si>
  <si>
    <t>①”税引後CIF（営業CF）</t>
    <rPh sb="2" eb="4">
      <t>ゼイビ</t>
    </rPh>
    <rPh sb="4" eb="5">
      <t>ゴ</t>
    </rPh>
    <rPh sb="9" eb="11">
      <t>エイギョウ</t>
    </rPh>
    <phoneticPr fontId="2"/>
  </si>
  <si>
    <t>②'タックスシールド</t>
    <phoneticPr fontId="2"/>
  </si>
  <si>
    <t>割引現在価値合計（①"＋②'）</t>
    <rPh sb="0" eb="2">
      <t>ワリビ</t>
    </rPh>
    <rPh sb="2" eb="4">
      <t>ゲンザイ</t>
    </rPh>
    <rPh sb="4" eb="6">
      <t>カチ</t>
    </rPh>
    <rPh sb="6" eb="8">
      <t>ゴウケイ</t>
    </rPh>
    <phoneticPr fontId="2"/>
  </si>
  <si>
    <t>投資額</t>
    <rPh sb="0" eb="2">
      <t>トウシ</t>
    </rPh>
    <rPh sb="2" eb="3">
      <t>ガク</t>
    </rPh>
    <phoneticPr fontId="2"/>
  </si>
  <si>
    <t>判定　</t>
    <rPh sb="0" eb="2">
      <t>ハンテイ</t>
    </rPh>
    <phoneticPr fontId="55"/>
  </si>
  <si>
    <r>
      <t>　※資本コストは</t>
    </r>
    <r>
      <rPr>
        <b/>
        <sz val="11"/>
        <color theme="1"/>
        <rFont val="游ゴシック"/>
        <family val="3"/>
        <charset val="128"/>
        <scheme val="minor"/>
      </rPr>
      <t>○○％</t>
    </r>
    <r>
      <rPr>
        <sz val="11"/>
        <color theme="1"/>
        <rFont val="游ゴシック"/>
        <family val="2"/>
        <charset val="128"/>
        <scheme val="minor"/>
      </rPr>
      <t>とし、ＮＰＶ法により正味キャッシュフローの現在価値を求めて判定を行っている。</t>
    </r>
    <rPh sb="2" eb="4">
      <t>シホン</t>
    </rPh>
    <rPh sb="17" eb="18">
      <t>ホウ</t>
    </rPh>
    <rPh sb="21" eb="23">
      <t>ショウミ</t>
    </rPh>
    <rPh sb="32" eb="34">
      <t>ゲンザイ</t>
    </rPh>
    <rPh sb="34" eb="36">
      <t>カチ</t>
    </rPh>
    <rPh sb="37" eb="38">
      <t>モト</t>
    </rPh>
    <rPh sb="40" eb="42">
      <t>ハンテイ</t>
    </rPh>
    <rPh sb="43" eb="44">
      <t>オコナ</t>
    </rPh>
    <phoneticPr fontId="2"/>
  </si>
  <si>
    <t>回収期間（年）</t>
    <rPh sb="0" eb="2">
      <t>カイシュウ</t>
    </rPh>
    <rPh sb="2" eb="4">
      <t>キカン</t>
    </rPh>
    <rPh sb="5" eb="6">
      <t>ネン</t>
    </rPh>
    <phoneticPr fontId="2"/>
  </si>
  <si>
    <t>■モデル文章</t>
    <rPh sb="4" eb="6">
      <t>ブンショウ</t>
    </rPh>
    <phoneticPr fontId="2"/>
  </si>
  <si>
    <t>※フルローンを想定</t>
    <rPh sb="7" eb="9">
      <t>ソウテイ</t>
    </rPh>
    <phoneticPr fontId="2"/>
  </si>
  <si>
    <t>設定値</t>
    <rPh sb="0" eb="3">
      <t>セッテイチ</t>
    </rPh>
    <phoneticPr fontId="2"/>
  </si>
  <si>
    <t>ワーク用</t>
    <rPh sb="3" eb="4">
      <t>ヨウ</t>
    </rPh>
    <phoneticPr fontId="2"/>
  </si>
  <si>
    <t>増加人数</t>
    <rPh sb="0" eb="2">
      <t>ゾウカ</t>
    </rPh>
    <rPh sb="2" eb="4">
      <t>ニンズウ</t>
    </rPh>
    <phoneticPr fontId="2"/>
  </si>
  <si>
    <t>一人当たり平均労務費</t>
    <rPh sb="0" eb="2">
      <t>ヒトリ</t>
    </rPh>
    <rPh sb="2" eb="3">
      <t>ア</t>
    </rPh>
    <rPh sb="5" eb="7">
      <t>ヘイキン</t>
    </rPh>
    <rPh sb="7" eb="10">
      <t>ロウムヒ</t>
    </rPh>
    <phoneticPr fontId="2"/>
  </si>
  <si>
    <t>経常利益 成長</t>
    <rPh sb="0" eb="2">
      <t>ケイジョウ</t>
    </rPh>
    <rPh sb="2" eb="4">
      <t>リエキ</t>
    </rPh>
    <rPh sb="5" eb="7">
      <t>セイチョウ</t>
    </rPh>
    <phoneticPr fontId="2"/>
  </si>
  <si>
    <t>付加価値額 成長</t>
    <rPh sb="0" eb="2">
      <t>フカ</t>
    </rPh>
    <rPh sb="2" eb="4">
      <t>カチ</t>
    </rPh>
    <rPh sb="4" eb="5">
      <t>ガク</t>
    </rPh>
    <rPh sb="6" eb="8">
      <t>セイチョウ</t>
    </rPh>
    <phoneticPr fontId="2"/>
  </si>
  <si>
    <t>≪判定≫</t>
    <rPh sb="1" eb="3">
      <t>ハンテイ</t>
    </rPh>
    <phoneticPr fontId="2"/>
  </si>
  <si>
    <t>年率（毎年平均）</t>
    <rPh sb="0" eb="2">
      <t>ネンリツ</t>
    </rPh>
    <rPh sb="3" eb="5">
      <t>マイトシ</t>
    </rPh>
    <rPh sb="5" eb="7">
      <t>ヘイキン</t>
    </rPh>
    <phoneticPr fontId="2"/>
  </si>
  <si>
    <t>※５年後で５％以上であること</t>
    <rPh sb="2" eb="3">
      <t>ネン</t>
    </rPh>
    <rPh sb="3" eb="4">
      <t>ゴ</t>
    </rPh>
    <rPh sb="7" eb="9">
      <t>イジョウ</t>
    </rPh>
    <phoneticPr fontId="2"/>
  </si>
  <si>
    <t>※５年後で１５％以上であること</t>
    <rPh sb="2" eb="3">
      <t>ネン</t>
    </rPh>
    <rPh sb="3" eb="4">
      <t>ゴ</t>
    </rPh>
    <rPh sb="8" eb="10">
      <t>イジョウ</t>
    </rPh>
    <phoneticPr fontId="2"/>
  </si>
  <si>
    <t>労働生産性
（円単位）</t>
    <rPh sb="0" eb="2">
      <t>ロウドウ</t>
    </rPh>
    <rPh sb="2" eb="5">
      <t>セイサンセイ</t>
    </rPh>
    <rPh sb="7" eb="8">
      <t>エン</t>
    </rPh>
    <rPh sb="8" eb="10">
      <t>タンイ</t>
    </rPh>
    <phoneticPr fontId="2"/>
  </si>
  <si>
    <t>５年後</t>
    <rPh sb="1" eb="3">
      <t>ネンゴ</t>
    </rPh>
    <phoneticPr fontId="2"/>
  </si>
  <si>
    <t>４．投資判断としての妥当性</t>
    <rPh sb="2" eb="4">
      <t>トウシ</t>
    </rPh>
    <rPh sb="4" eb="6">
      <t>ハンダン</t>
    </rPh>
    <rPh sb="10" eb="13">
      <t>ダトウセイ</t>
    </rPh>
    <phoneticPr fontId="2"/>
  </si>
  <si>
    <t>年</t>
    <rPh sb="0" eb="1">
      <t>ネン</t>
    </rPh>
    <phoneticPr fontId="2"/>
  </si>
  <si>
    <t xml:space="preserve">判定 </t>
    <rPh sb="0" eb="2">
      <t>ハンテイ</t>
    </rPh>
    <phoneticPr fontId="55"/>
  </si>
  <si>
    <t xml:space="preserve">推定回収期間 </t>
    <rPh sb="0" eb="2">
      <t>スイテイ</t>
    </rPh>
    <rPh sb="2" eb="4">
      <t>カイシュウ</t>
    </rPh>
    <rPh sb="4" eb="6">
      <t>キカン</t>
    </rPh>
    <phoneticPr fontId="55"/>
  </si>
  <si>
    <t>[＋]試算詳細</t>
    <rPh sb="3" eb="5">
      <t>シサン</t>
    </rPh>
    <rPh sb="5" eb="7">
      <t>ショウサイ</t>
    </rPh>
    <phoneticPr fontId="2"/>
  </si>
  <si>
    <t>２．労働生産性</t>
    <rPh sb="2" eb="4">
      <t>ロウドウ</t>
    </rPh>
    <rPh sb="4" eb="7">
      <t>セイサンセイ</t>
    </rPh>
    <phoneticPr fontId="2"/>
  </si>
  <si>
    <t>３．損益分岐点の推移</t>
    <rPh sb="2" eb="4">
      <t>ソンエキ</t>
    </rPh>
    <rPh sb="4" eb="7">
      <t>ブンキテン</t>
    </rPh>
    <rPh sb="8" eb="10">
      <t>スイイ</t>
    </rPh>
    <phoneticPr fontId="2"/>
  </si>
  <si>
    <t>もの補助要件チェック結果</t>
    <rPh sb="2" eb="4">
      <t>ホジョ</t>
    </rPh>
    <rPh sb="4" eb="6">
      <t>ヨウケン</t>
    </rPh>
    <rPh sb="10" eb="12">
      <t>ケッカ</t>
    </rPh>
    <phoneticPr fontId="2"/>
  </si>
  <si>
    <t>１．もの補助要件</t>
    <rPh sb="4" eb="6">
      <t>ホジョ</t>
    </rPh>
    <rPh sb="6" eb="8">
      <t>ヨウケン</t>
    </rPh>
    <phoneticPr fontId="2"/>
  </si>
  <si>
    <t>※消さないでください</t>
    <rPh sb="1" eb="2">
      <t>ケ</t>
    </rPh>
    <phoneticPr fontId="2"/>
  </si>
  <si>
    <t>要件チェック</t>
    <rPh sb="0" eb="2">
      <t>ヨウケン</t>
    </rPh>
    <phoneticPr fontId="2"/>
  </si>
  <si>
    <t>％</t>
    <phoneticPr fontId="2"/>
  </si>
  <si>
    <t>2/3</t>
  </si>
  <si>
    <t>※低下していけば◎</t>
    <rPh sb="1" eb="3">
      <t>テイカ</t>
    </rPh>
    <phoneticPr fontId="2"/>
  </si>
  <si>
    <t>労働生産性 成長</t>
    <rPh sb="0" eb="2">
      <t>ロウドウ</t>
    </rPh>
    <rPh sb="2" eb="5">
      <t>セイサンセイ</t>
    </rPh>
    <rPh sb="6" eb="8">
      <t>セイチョウ</t>
    </rPh>
    <phoneticPr fontId="2"/>
  </si>
  <si>
    <t>判定</t>
    <rPh sb="0" eb="2">
      <t>ハンテイ</t>
    </rPh>
    <phoneticPr fontId="2"/>
  </si>
  <si>
    <t>円/年間</t>
    <rPh sb="0" eb="1">
      <t>エン</t>
    </rPh>
    <rPh sb="2" eb="4">
      <t>ネンカン</t>
    </rPh>
    <phoneticPr fontId="2"/>
  </si>
  <si>
    <t>円/月間</t>
    <rPh sb="0" eb="1">
      <t>エン</t>
    </rPh>
    <rPh sb="2" eb="3">
      <t>ツキ</t>
    </rPh>
    <rPh sb="3" eb="4">
      <t>カン</t>
    </rPh>
    <phoneticPr fontId="2"/>
  </si>
  <si>
    <t>円/日</t>
    <rPh sb="0" eb="1">
      <t>エン</t>
    </rPh>
    <rPh sb="2" eb="3">
      <t>ニチ</t>
    </rPh>
    <phoneticPr fontId="2"/>
  </si>
  <si>
    <r>
      <t>　　　　　　※資本コストは〇</t>
    </r>
    <r>
      <rPr>
        <b/>
        <sz val="11"/>
        <color theme="1"/>
        <rFont val="游ゴシック"/>
        <family val="3"/>
        <charset val="128"/>
        <scheme val="minor"/>
      </rPr>
      <t>％</t>
    </r>
    <r>
      <rPr>
        <sz val="11"/>
        <color theme="1"/>
        <rFont val="游ゴシック"/>
        <family val="2"/>
        <charset val="128"/>
        <scheme val="minor"/>
      </rPr>
      <t>とし、ＮＰＶ法により正味キャッシュフローの現在価値を求めて判定を行っている。</t>
    </r>
    <rPh sb="7" eb="9">
      <t>シホン</t>
    </rPh>
    <rPh sb="21" eb="22">
      <t>ホウ</t>
    </rPh>
    <rPh sb="25" eb="27">
      <t>ショウミ</t>
    </rPh>
    <rPh sb="36" eb="38">
      <t>ゲンザイ</t>
    </rPh>
    <rPh sb="38" eb="40">
      <t>カチ</t>
    </rPh>
    <rPh sb="41" eb="42">
      <t>モト</t>
    </rPh>
    <rPh sb="44" eb="46">
      <t>ハンテイ</t>
    </rPh>
    <rPh sb="47" eb="48">
      <t>オコナ</t>
    </rPh>
    <phoneticPr fontId="2"/>
  </si>
  <si>
    <t>⇒</t>
    <phoneticPr fontId="2"/>
  </si>
  <si>
    <t>税抜</t>
    <rPh sb="0" eb="1">
      <t>ゼイ</t>
    </rPh>
    <rPh sb="1" eb="2">
      <t>ヌ</t>
    </rPh>
    <phoneticPr fontId="2"/>
  </si>
  <si>
    <t>しない</t>
  </si>
  <si>
    <t>生菓子売上</t>
  </si>
  <si>
    <t>焼菓子売上</t>
  </si>
  <si>
    <t>■商品の採算性について　～こだわるが故の不採算と技術的な壁～　_x000D_
以下は、菓子分類別に当社の平均的な商品１個あたりの採算を示している。</t>
  </si>
  <si>
    <t>①平均単価</t>
  </si>
  <si>
    <t>②材料費</t>
  </si>
  <si>
    <t>③直接労務費</t>
  </si>
  <si>
    <t>④間接労務費</t>
  </si>
  <si>
    <t>⑤総原価_x000D_
(②＋③＋④)</t>
  </si>
  <si>
    <t>⑥収益/個</t>
  </si>
  <si>
    <t>⑦収益率</t>
  </si>
  <si>
    <t>生菓子</t>
  </si>
  <si>
    <t>焼菓子</t>
  </si>
  <si>
    <t xml:space="preserve">*)シズル感…揚げ物や肉が焼ける際の「ジュージュー」と音を立てる意味を表す英語の擬音語'sizzle'(ｼｽﾞﾙ)が語源で、フルーツやグラスにつく水滴などのおいしそうなツヤ感や瑞々しさ・新鮮さ、焼成物の湯気など人の五感に訴求して消費者の食欲や購買意欲を掻き立てる感覚・感性を表す広告用語に転じた。_x000D_
</t>
  </si>
  <si>
    <t>平均単価</t>
  </si>
  <si>
    <t>材料費</t>
  </si>
  <si>
    <t>直接労務費</t>
  </si>
  <si>
    <t>間接労務費</t>
  </si>
  <si>
    <t>収益/個</t>
  </si>
  <si>
    <t>売上額</t>
  </si>
  <si>
    <t>労務費率</t>
  </si>
  <si>
    <t>設備導入前</t>
  </si>
  <si>
    <t>設備導入後</t>
  </si>
  <si>
    <t>成長率/削減率</t>
  </si>
  <si>
    <t>【生菓子】</t>
  </si>
  <si>
    <t>【焼菓子】</t>
  </si>
  <si>
    <t>付加価値額</t>
    <phoneticPr fontId="2"/>
  </si>
  <si>
    <t>一人当たり売上高</t>
    <phoneticPr fontId="2"/>
  </si>
  <si>
    <t>一人当たり限界利益</t>
    <phoneticPr fontId="2"/>
  </si>
  <si>
    <t>一人当たり貢献利益</t>
    <phoneticPr fontId="2"/>
  </si>
  <si>
    <t>一人当たり付加価値額</t>
    <phoneticPr fontId="2"/>
  </si>
  <si>
    <t>売上高付加価値率</t>
    <phoneticPr fontId="2"/>
  </si>
  <si>
    <t>有形固定資産回転率</t>
    <phoneticPr fontId="2"/>
  </si>
  <si>
    <t>労働装備率</t>
    <phoneticPr fontId="2"/>
  </si>
  <si>
    <t>①</t>
    <phoneticPr fontId="2"/>
  </si>
  <si>
    <t>②</t>
    <phoneticPr fontId="2"/>
  </si>
  <si>
    <t>③</t>
    <phoneticPr fontId="2"/>
  </si>
  <si>
    <t>④</t>
    <phoneticPr fontId="2"/>
  </si>
  <si>
    <t>⑤</t>
    <phoneticPr fontId="2"/>
  </si>
  <si>
    <t>⑥</t>
    <phoneticPr fontId="2"/>
  </si>
  <si>
    <t>⑦</t>
    <phoneticPr fontId="2"/>
  </si>
  <si>
    <t>⑧</t>
    <phoneticPr fontId="2"/>
  </si>
  <si>
    <t>有形固定資産</t>
    <rPh sb="0" eb="2">
      <t>ユウケイ</t>
    </rPh>
    <rPh sb="2" eb="4">
      <t>コテイ</t>
    </rPh>
    <rPh sb="4" eb="6">
      <t>シサン</t>
    </rPh>
    <phoneticPr fontId="55"/>
  </si>
  <si>
    <t>■効果③　生産性指標の向上_x000D_
　本補助事業による設備投資、営業拡大により下記、生産性向上を見込むことができる。</t>
  </si>
  <si>
    <t>前期実績</t>
  </si>
  <si>
    <t>1年目</t>
  </si>
  <si>
    <t>2年目</t>
  </si>
  <si>
    <t>3年目</t>
  </si>
  <si>
    <t>4年目</t>
  </si>
  <si>
    <t>5年目</t>
  </si>
  <si>
    <t>売上高</t>
  </si>
  <si>
    <t>損益分岐点売上高</t>
  </si>
  <si>
    <t>損益分岐点比率</t>
  </si>
  <si>
    <t>投資時点</t>
  </si>
  <si>
    <t>1年後</t>
  </si>
  <si>
    <t>2年後</t>
  </si>
  <si>
    <t>3年後</t>
  </si>
  <si>
    <t>4年後</t>
  </si>
  <si>
    <t>5年後</t>
  </si>
  <si>
    <t>①CIF（営業CF）</t>
  </si>
  <si>
    <t>①'税引き後CIF（営業CF）</t>
  </si>
  <si>
    <t>　設備の減価償却費</t>
  </si>
  <si>
    <t>②減価償却費のﾀｯｸｽｼｰﾙﾄﾞ</t>
  </si>
  <si>
    <t>正味CF計（①'＋②）</t>
  </si>
  <si>
    <t>割引率</t>
  </si>
  <si>
    <t>①”税引後CIF（営業CF）</t>
  </si>
  <si>
    <t>②'タックスシールド</t>
  </si>
  <si>
    <t>割引現在価値合計（①"＋②'）</t>
  </si>
  <si>
    <t>投資額</t>
  </si>
  <si>
    <t>本事業では、以下のように５か年計画表の営業キャッシュフローと減価償却のタックスシールド効果を得ることができ、その正味キャッシュフローを現在価値に割り引いた場合の現在価値が840,258,978円となり､投資額以上となるため「投資に値する」と言える｡_x000D_
また、回収期間も0.14年となっており短期回収が可能であること、さらに残りの期間で新商品開発によるキャッシュインフローの向上も見込むことができる｡</t>
  </si>
  <si>
    <t>生菓子：焼菓子　＝</t>
    <rPh sb="0" eb="3">
      <t>ナマガシ</t>
    </rPh>
    <rPh sb="4" eb="5">
      <t>ヤ</t>
    </rPh>
    <rPh sb="5" eb="7">
      <t>ガシ</t>
    </rPh>
    <phoneticPr fontId="2"/>
  </si>
  <si>
    <t>= 粗利率</t>
    <rPh sb="2" eb="5">
      <t>アラリリツ</t>
    </rPh>
    <rPh sb="4" eb="5">
      <t>リツ</t>
    </rPh>
    <phoneticPr fontId="2"/>
  </si>
  <si>
    <t>（出）販管人件費／年</t>
    <rPh sb="1" eb="2">
      <t>デ</t>
    </rPh>
    <rPh sb="3" eb="5">
      <t>ハンカン</t>
    </rPh>
    <rPh sb="5" eb="7">
      <t>ジンケン</t>
    </rPh>
    <rPh sb="7" eb="8">
      <t>ヒ</t>
    </rPh>
    <rPh sb="9" eb="10">
      <t>ネン</t>
    </rPh>
    <phoneticPr fontId="2"/>
  </si>
  <si>
    <t>　</t>
    <phoneticPr fontId="2"/>
  </si>
  <si>
    <t>従業員数</t>
    <phoneticPr fontId="2"/>
  </si>
  <si>
    <t xml:space="preserve">■設備投資の内容以上、当社は新商品開発に必要な設備機能性、既存品量産化のための効率化、工程ごとの部分最適ではなくラインバランス効率を考慮した全体最適化を図るうえで必要な下記設備を導入したいと考えている。_x000D_
_x000D_
＜設備①＞ ●●●●マシーン　型式：xxxxxxxxx 価格：15,000,000円(税抜)_x000D_
　特徴：xxxxxxxxxxxxxxxxxxxxxxxxxxxxxxxxxxxxxxxxx_x000D_
　解決できる課題：●●工程においてxxxxxxxxxxxxxxxxxxxxxxxxxxxxxxxxxxxxxxxxxxxxx_x000D_
_x000D_
※なお、減価償却については一括償却しないため初年度の減価償却費は500,000円を計上する予定。_x000D_
</t>
  </si>
  <si>
    <t xml:space="preserve">今後５年間で、当社は働き方改革を推進する中で営業日を現状の25日から25日にする。また、2名の増員（純増）を予定しているが、従業員のコストや設備投資分の減価償却費用を上回る営業利益の確保により「付加価値額」や「一人当たり付加価値額（労働生産性）」や「売上高付加価値率」の指標が向上する。_x000D_
一人当たり指標については、新商品開発の販売や既存チャンスロスの解消による売上増大効果により「一人当たり売上高」が向上する。_x000D_
また、生産効率化による製造原価低減により変動費を抑制できるため、「一人当たり限界利益」が上昇する。_x000D_
さらに、設備投資による固定上昇分を大幅な受注増で吸収できるため相対的に固定費率を押し下げることにより、貢献利益が確保でき「一人当たり貢献利益」の指標が上昇する。_x000D_
なお、有形固定資産額が上昇するものの、新規受注増や逸失売上の回収が進むため資本効率が高まり、「有形固定資産回転率」が上昇する。_x000D_
</t>
  </si>
  <si>
    <t xml:space="preserve">■生産の状況　～新商品開発を停滞させる生産性要因～_x000D_
　当社は生菓子と焼菓子の製造比率を生菓子が70.0%、焼菓子が30.0%にて生産しており、生菓子の年間売上が34,409.2万円（売上点数約860,230個）、焼菓子が14,746.8万円（売上点数約641,165個）で売上規模は、49,156万円／年となっている。また、菓子製造に携わる従業員数は現在63名であり、一人当たりの売上金額は、780.2万円／年と業界中位の水準となっている。_x000D_
　次に売上原価であるが、材料原価率が31.6%で15,533.3万円／年、人件費が直接労務費（6,411万円／年）と間接労務費（8,661万円／年）を合わせて15,072万円／年となり、原価率が62.3％と、売上生産性が平均的な水準に留まっている背景として、製造効率化を通じた原価低減の余地を多く残している状態にある。_x000D_
　また、近年ではこの原価低減の課題に加えて、商品開発面での課題も顕在化してきている。_x000D_
元々、当社では多様化する顧客志向、ＳＮＳ等で素早く市場浸透してしまう流行・トレンドに遅れないよう、策として新商品開発や既存商品のカスタマイズ、地元素材を活用したコラボレーション開発を意識した運営を行ってきた。_x000D_
　例えば●●●●を使用した●●●の開発では上記のように開発時間の余力に関する問題に加えて●●を●●加工する際の工程において●●●が●●●してしまうといった技術的な壁に当たっており＜ここでサイエンスなど＞、商品化の進捗が思わしくない状況である。他にも、●●を使用した●●や、●●の中身を●●に変えた●●なども、機械設備の能率や機能性の不十分さから、構想止まりとなっている状況である。_x000D_
　よって、今回の設備投資により既存商品の量産化や着想に留まっている商品の具現化などを通じてさらなる売上向上につなげると同時に、生産効率課題を解決し製造原価低減による収益向上を図らなければならない。_x000D_
_x000D_
</t>
  </si>
  <si>
    <t xml:space="preserve">　当社は予てより国内産素材や自然素材など材料にこだわってきたが、「材料費率」が、31.6%と年々高くなってきており採算を圧迫している。顧客を惹きつける商品力・素材の持つ力を活用しようとすると採算性が低下するという相反する問題を孕んでおり今後は素材の持つ力のみならず、創作技術の承継や装飾など仕上げへの注力にて審美感に訴求する商品づくりを行い付加価値を高めていかなければならない。_x000D_
一方、「人件費」では生菓子の製造労務費が問題で、菓子一個当たりの直接労務費と間接労務費の合計が127.7円となっており、その「人件費率」も31.9%となっている。_x000D_
　従来より、素材の計量・調合/混合・分割・充填・成型・焼成・仕上げ・冷却・包装/梱包など手作業工程が高頻度で発生する業態であって、さらに仕上げ工程や装飾などパティシエの実力、ひいては店舗の特長を出す工程も含めると多大な人手と時間を要してしまう特性があり人件費率が高まりやすい状況となる。_x000D_
　また、綺麗さや形状といった審美感への訴求、またおいしさのバリエーションやシズル感(*)の追究といった視覚面や情緒面で顧客を魅了する多品種少量型の商品生産となるため、上級パティシエでも単純で簡易な工程に手を取られたり、繁忙期には包装工程などもアルバイトに混ざってこなさなければならない状況である。_x000D_
　これらのことから①いかに作業効率化を通じた原価低減、各工程の能率向上による生産工程全体の最適化を通じた生産拡大(販売拡大)を図ることで生菓子の収益化と材料高騰による減収を補完していくか、また、②いかに熟練パティシエが仕上げ工程や商品企画・開発に時間を割けるよう生産余力を確保するか、さらに、③それらパティシエが描く新商品構想を具現化するのに障壁となる技術課題を解消する機能性高い設備を導入するか、など、いかにしてこだわりを維持・商品開発に仕向けつつ、作業の効率性や全体のスループットを高めるかが課題である｡ </t>
  </si>
  <si>
    <t>■効果①　商品開発の進捗と事業成長_x000D_
　上記設備を導入することにより、機能設備の能率が大幅に向上するため、例えば●●●●を使用した●●●の開発時間の余力が生まれるとともに､ 設備の機能性も充実するため、構想止まりとなっていた新商品の商品化も進捗する。具体的には、前述課題に挙げた●●を●●加工する際の工程において●●●が●●●してしまうといった技術的な壁を解消することができ、＜前述サイエンスの要約再登場＞といったことも可能となり、さらに、●●を使用した●●や、●●の中身を●●に変えた●●なども実現可能となる。_x000D_
　これらにより、今後５年間で新商品販売と既存商品の量産（チャンスロスの解消）を要因とした売上増大効果を通じ、前年比119.0%の売上成長(売上額58,496万円)を見込むことができ、５年間での経常利益の成長率が26.1%、付加価値額の成長率が18.8%、労働生産性の伸び率が15.2%となる。_x000D_
　なお、自然退職とあわせて2名の純増を計画しているが、材料費含めた製造原価全体として2.5%削減見込みであることに加え、下表にあるように直接労務費を中心に削減がなされ労務費全体として労務費率が12.7%削減の見込みであるため売上成長幅にあわせた収益拡大も可能になる。</t>
  </si>
  <si>
    <t xml:space="preserve">■効果②　労務費の低下と収益率の向上_x000D_
　さらに、設備導入により●●工程や●●工程における菓子製造の労務費率も大幅に低減し、特に前述で問題となっていた生菓子単価に占める人件費率(直接労務費+間接労務費)が27.8%と大幅に削減でき、収益率も4.8ポイント伸長することが期待できる。_x000D_
　なお、焼菓子においても単価に占める人件費率(直接労務費+間接労務費)が26.7%と削減できるとともに、収益率も4.4ポイント伸長することが期待できる。_x000D_
　以下は、菓子区分別にみた製造原価の比較表、および、生菓子における労務費と収益率の推移グラフである。_x000D_
</t>
  </si>
  <si>
    <t xml:space="preserve">■効果④　損益分岐点比率の低下_x000D_
　前述のように、変動費率(主に製造原価)の低下に伴う粗利の上昇と、固定費の相対的低下を主要因として、損益分岐点売上高が低下し、損益分岐点比率も31.9%から25.0%と大幅に低下することとなる。_x000D_
</t>
  </si>
  <si>
    <t>■投資判断の妥当性について_x000D_
本事業では、以下のように５か年計画表の営業キャッシュフローと減価償却のタックスシールド効果を得ることができ、その正味キャッシュフローを現在価値に割り引いた場合の現在価値が601,305,337円となり､投資額以上となるため「投資に値する」と言える｡_x000D_
また、回収期間も0.11年となっており短期回収が可能であること、さらに残りの期間で新商品開発によるキャッシュインフローの向上も見込むことができる｡</t>
  </si>
  <si>
    <t>本事業では、以下のように５か年計画表の営業キャッシュフローと減価償却のタックスシールド効果を得ることができ、その正味キャッシュフローを現在価値に割り引いた場合の現在価値が606,104,890円となり､投資額以上となるため「投資に値する」と言える｡_x000D_
また、回収期間も0.11年となっており短期回収が可能であること、さらに残りの期間で新商品開発によるキャッシュインフローの向上も見込むことができる｡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</si>
</sst>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_ "/>
    <numFmt numFmtId="177" formatCode="#,##0_ ;[Red]\-#,##0\ "/>
    <numFmt numFmtId="178" formatCode="0.0%"/>
    <numFmt numFmtId="179" formatCode="#,##0&quot;円&quot;"/>
    <numFmt numFmtId="180" formatCode="#,##0&quot;千&quot;&quot;円&quot;"/>
    <numFmt numFmtId="181" formatCode="0.000"/>
    <numFmt numFmtId="182" formatCode="#,##0.0_ "/>
    <numFmt numFmtId="183" formatCode="&quot;ﾏｲﾅｽ　&quot;#0.0"/>
    <numFmt numFmtId="184" formatCode="&quot;ﾌﾟﾗｽ　&quot;#0"/>
    <numFmt numFmtId="185" formatCode="#0&quot; 営業日&quot;"/>
    <numFmt numFmtId="186" formatCode="0.0"/>
    <numFmt numFmtId="187" formatCode="#,##0.0_ ;[Red]\-#,##0.0\ "/>
  </numFmts>
  <fonts count="80">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6"/>
      <color theme="1"/>
      <name val="游ゴシック"/>
      <family val="2"/>
      <charset val="128"/>
      <scheme val="minor"/>
    </font>
    <font>
      <b/>
      <sz val="11"/>
      <color theme="1"/>
      <name val="游ゴシック"/>
      <family val="3"/>
      <charset val="128"/>
      <scheme val="minor"/>
    </font>
    <font>
      <b/>
      <u/>
      <sz val="11"/>
      <color theme="1"/>
      <name val="游ゴシック"/>
      <family val="3"/>
      <charset val="128"/>
      <scheme val="minor"/>
    </font>
    <font>
      <b/>
      <u/>
      <sz val="16"/>
      <color theme="1"/>
      <name val="游ゴシック"/>
      <family val="3"/>
      <charset val="128"/>
      <scheme val="minor"/>
    </font>
    <font>
      <sz val="16"/>
      <color theme="1"/>
      <name val="游ゴシック"/>
      <family val="3"/>
      <charset val="128"/>
      <scheme val="minor"/>
    </font>
    <font>
      <sz val="20"/>
      <color theme="1"/>
      <name val="游ゴシック"/>
      <family val="3"/>
      <charset val="128"/>
      <scheme val="minor"/>
    </font>
    <font>
      <u/>
      <sz val="11"/>
      <color theme="1"/>
      <name val="游ゴシック"/>
      <family val="2"/>
      <charset val="128"/>
      <scheme val="minor"/>
    </font>
    <font>
      <u/>
      <sz val="11"/>
      <color theme="1"/>
      <name val="游ゴシック"/>
      <family val="3"/>
      <charset val="128"/>
      <scheme val="minor"/>
    </font>
    <font>
      <b/>
      <u/>
      <sz val="28"/>
      <color theme="1"/>
      <name val="游ゴシック"/>
      <family val="3"/>
      <charset val="128"/>
      <scheme val="minor"/>
    </font>
    <font>
      <sz val="10"/>
      <color theme="1"/>
      <name val="游ゴシック"/>
      <family val="3"/>
      <charset val="128"/>
      <scheme val="minor"/>
    </font>
    <font>
      <b/>
      <u/>
      <sz val="28"/>
      <color rgb="FFFF0000"/>
      <name val="游ゴシック"/>
      <family val="3"/>
      <charset val="128"/>
      <scheme val="minor"/>
    </font>
    <font>
      <u/>
      <sz val="14"/>
      <color rgb="FFFF0000"/>
      <name val="游ゴシック"/>
      <family val="3"/>
      <charset val="128"/>
      <scheme val="minor"/>
    </font>
    <font>
      <u/>
      <sz val="12"/>
      <name val="游ゴシック"/>
      <family val="2"/>
      <charset val="128"/>
      <scheme val="minor"/>
    </font>
    <font>
      <sz val="10"/>
      <color theme="1"/>
      <name val="游ゴシック"/>
      <family val="2"/>
      <charset val="128"/>
      <scheme val="minor"/>
    </font>
    <font>
      <sz val="12"/>
      <color theme="1"/>
      <name val="游ゴシック"/>
      <family val="2"/>
      <charset val="128"/>
      <scheme val="minor"/>
    </font>
    <font>
      <sz val="14"/>
      <color theme="1"/>
      <name val="游ゴシック"/>
      <family val="2"/>
      <charset val="128"/>
      <scheme val="minor"/>
    </font>
    <font>
      <sz val="11"/>
      <color theme="2"/>
      <name val="游ゴシック"/>
      <family val="2"/>
      <charset val="128"/>
      <scheme val="minor"/>
    </font>
    <font>
      <sz val="11"/>
      <color theme="2"/>
      <name val="游ゴシック"/>
      <family val="3"/>
      <charset val="128"/>
      <scheme val="minor"/>
    </font>
    <font>
      <sz val="12"/>
      <color theme="1"/>
      <name val="游ゴシック"/>
      <family val="3"/>
      <charset val="128"/>
      <scheme val="minor"/>
    </font>
    <font>
      <sz val="18"/>
      <color theme="3"/>
      <name val="游ゴシック Light"/>
      <family val="2"/>
      <charset val="128"/>
      <scheme val="major"/>
    </font>
    <font>
      <sz val="11"/>
      <color theme="1"/>
      <name val="游ゴシック"/>
      <family val="2"/>
      <scheme val="minor"/>
    </font>
    <font>
      <b/>
      <sz val="16"/>
      <color theme="0"/>
      <name val="游ゴシック"/>
      <family val="3"/>
      <charset val="128"/>
      <scheme val="minor"/>
    </font>
    <font>
      <b/>
      <sz val="11"/>
      <name val="游ゴシック"/>
      <family val="3"/>
      <charset val="128"/>
      <scheme val="minor"/>
    </font>
    <font>
      <b/>
      <sz val="11"/>
      <color theme="0"/>
      <name val="游ゴシック"/>
      <family val="3"/>
      <charset val="128"/>
      <scheme val="minor"/>
    </font>
    <font>
      <b/>
      <sz val="12"/>
      <name val="游ゴシック"/>
      <family val="3"/>
      <charset val="128"/>
      <scheme val="minor"/>
    </font>
    <font>
      <b/>
      <u/>
      <sz val="12"/>
      <color theme="1"/>
      <name val="游ゴシック"/>
      <family val="3"/>
      <charset val="128"/>
      <scheme val="minor"/>
    </font>
    <font>
      <b/>
      <sz val="12"/>
      <color theme="1"/>
      <name val="游ゴシック"/>
      <family val="3"/>
      <charset val="128"/>
      <scheme val="minor"/>
    </font>
    <font>
      <u/>
      <sz val="12"/>
      <color theme="1"/>
      <name val="游ゴシック"/>
      <family val="3"/>
      <charset val="128"/>
      <scheme val="minor"/>
    </font>
    <font>
      <b/>
      <u/>
      <sz val="16"/>
      <color rgb="FFFFC000"/>
      <name val="游ゴシック"/>
      <family val="3"/>
      <charset val="128"/>
      <scheme val="minor"/>
    </font>
    <font>
      <b/>
      <sz val="18"/>
      <color theme="1"/>
      <name val="游ゴシック"/>
      <family val="3"/>
      <charset val="128"/>
      <scheme val="minor"/>
    </font>
    <font>
      <b/>
      <sz val="14"/>
      <color rgb="FFFF0000"/>
      <name val="游ゴシック"/>
      <family val="3"/>
      <charset val="128"/>
      <scheme val="minor"/>
    </font>
    <font>
      <b/>
      <i/>
      <sz val="10"/>
      <color theme="9" tint="-0.249977111117893"/>
      <name val="游ゴシック"/>
      <family val="3"/>
      <charset val="128"/>
      <scheme val="minor"/>
    </font>
    <font>
      <sz val="11"/>
      <color theme="1"/>
      <name val="游ゴシック"/>
      <family val="3"/>
      <charset val="128"/>
      <scheme val="minor"/>
    </font>
    <font>
      <sz val="11"/>
      <color rgb="FF0000CC"/>
      <name val="游ゴシック"/>
      <family val="3"/>
      <charset val="128"/>
      <scheme val="minor"/>
    </font>
    <font>
      <b/>
      <sz val="16"/>
      <name val="游ゴシック"/>
      <family val="3"/>
      <charset val="128"/>
      <scheme val="minor"/>
    </font>
    <font>
      <sz val="12"/>
      <color theme="1"/>
      <name val="游ゴシック"/>
      <family val="2"/>
      <scheme val="minor"/>
    </font>
    <font>
      <b/>
      <sz val="9"/>
      <name val="游ゴシック"/>
      <family val="3"/>
      <charset val="128"/>
      <scheme val="minor"/>
    </font>
    <font>
      <sz val="10"/>
      <color theme="1"/>
      <name val="游ゴシック"/>
      <family val="2"/>
      <scheme val="minor"/>
    </font>
    <font>
      <sz val="8"/>
      <color theme="1"/>
      <name val="游ゴシック"/>
      <family val="3"/>
      <charset val="128"/>
      <scheme val="minor"/>
    </font>
    <font>
      <b/>
      <sz val="10"/>
      <color theme="1"/>
      <name val="游ゴシック"/>
      <family val="3"/>
      <charset val="128"/>
      <scheme val="minor"/>
    </font>
    <font>
      <u/>
      <sz val="11"/>
      <color theme="10"/>
      <name val="游ゴシック"/>
      <family val="2"/>
      <scheme val="minor"/>
    </font>
    <font>
      <sz val="11"/>
      <color rgb="FFFF0000"/>
      <name val="游ゴシック"/>
      <family val="2"/>
      <scheme val="minor"/>
    </font>
    <font>
      <b/>
      <sz val="16"/>
      <color theme="1"/>
      <name val="游ゴシック"/>
      <family val="3"/>
      <charset val="128"/>
      <scheme val="minor"/>
    </font>
    <font>
      <b/>
      <sz val="22"/>
      <color theme="1"/>
      <name val="游ゴシック"/>
      <family val="3"/>
      <charset val="128"/>
      <scheme val="minor"/>
    </font>
    <font>
      <b/>
      <u/>
      <sz val="11"/>
      <color rgb="FFFF0000"/>
      <name val="游ゴシック"/>
      <family val="3"/>
      <charset val="128"/>
      <scheme val="minor"/>
    </font>
    <font>
      <b/>
      <sz val="10"/>
      <name val="游ゴシック"/>
      <family val="3"/>
      <charset val="128"/>
      <scheme val="minor"/>
    </font>
    <font>
      <sz val="11"/>
      <color rgb="FFFF0000"/>
      <name val="游ゴシック"/>
      <family val="3"/>
      <charset val="128"/>
      <scheme val="minor"/>
    </font>
    <font>
      <sz val="9"/>
      <name val="游ゴシック"/>
      <family val="3"/>
      <charset val="128"/>
      <scheme val="minor"/>
    </font>
    <font>
      <sz val="11"/>
      <name val="游ゴシック"/>
      <family val="3"/>
      <charset val="128"/>
      <scheme val="minor"/>
    </font>
    <font>
      <sz val="11"/>
      <color rgb="FF000000"/>
      <name val="ＭＳ Ｐゴシック"/>
      <family val="3"/>
      <charset val="128"/>
    </font>
    <font>
      <sz val="11"/>
      <color theme="1"/>
      <name val="ＭＳ 明朝"/>
      <family val="1"/>
      <charset val="128"/>
    </font>
    <font>
      <sz val="16"/>
      <color theme="1"/>
      <name val="ＭＳ 明朝"/>
      <family val="1"/>
      <charset val="128"/>
    </font>
    <font>
      <sz val="6"/>
      <name val="游ゴシック"/>
      <family val="3"/>
      <charset val="128"/>
      <scheme val="minor"/>
    </font>
    <font>
      <sz val="9"/>
      <color theme="1"/>
      <name val="游ゴシック"/>
      <family val="3"/>
      <charset val="128"/>
      <scheme val="minor"/>
    </font>
    <font>
      <i/>
      <sz val="9"/>
      <color theme="1"/>
      <name val="游ゴシック"/>
      <family val="3"/>
      <charset val="128"/>
      <scheme val="minor"/>
    </font>
    <font>
      <b/>
      <sz val="12"/>
      <color rgb="FF0000FF"/>
      <name val="游ゴシック"/>
      <family val="3"/>
      <charset val="128"/>
      <scheme val="minor"/>
    </font>
    <font>
      <b/>
      <sz val="14"/>
      <color theme="1"/>
      <name val="游ゴシック"/>
      <family val="3"/>
      <charset val="128"/>
      <scheme val="minor"/>
    </font>
    <font>
      <b/>
      <sz val="14"/>
      <color rgb="FF00B050"/>
      <name val="游ゴシック"/>
      <family val="3"/>
      <charset val="128"/>
      <scheme val="minor"/>
    </font>
    <font>
      <b/>
      <sz val="9"/>
      <color indexed="81"/>
      <name val="ＭＳ Ｐゴシック"/>
      <family val="3"/>
      <charset val="128"/>
    </font>
    <font>
      <b/>
      <u/>
      <sz val="14"/>
      <color rgb="FF00B050"/>
      <name val="游ゴシック"/>
      <family val="3"/>
      <charset val="128"/>
      <scheme val="minor"/>
    </font>
    <font>
      <u/>
      <sz val="14"/>
      <color rgb="FF00B050"/>
      <name val="游ゴシック"/>
      <family val="3"/>
      <charset val="128"/>
      <scheme val="minor"/>
    </font>
    <font>
      <b/>
      <sz val="16"/>
      <color theme="9" tint="-0.249977111117893"/>
      <name val="游ゴシック"/>
      <family val="3"/>
      <charset val="128"/>
      <scheme val="minor"/>
    </font>
    <font>
      <b/>
      <sz val="14"/>
      <color rgb="FF0000FF"/>
      <name val="游ゴシック"/>
      <family val="3"/>
      <charset val="128"/>
      <scheme val="minor"/>
    </font>
    <font>
      <sz val="11"/>
      <color theme="1" tint="0.499984740745262"/>
      <name val="游ゴシック"/>
      <family val="3"/>
      <charset val="128"/>
      <scheme val="minor"/>
    </font>
    <font>
      <b/>
      <sz val="16"/>
      <color theme="1" tint="0.499984740745262"/>
      <name val="游ゴシック"/>
      <family val="3"/>
      <charset val="128"/>
      <scheme val="minor"/>
    </font>
    <font>
      <b/>
      <sz val="12"/>
      <color theme="1" tint="0.499984740745262"/>
      <name val="游ゴシック"/>
      <family val="3"/>
      <charset val="128"/>
      <scheme val="minor"/>
    </font>
    <font>
      <sz val="8"/>
      <color theme="4" tint="-0.249977111117893"/>
      <name val="游ゴシック"/>
      <family val="2"/>
      <charset val="128"/>
      <scheme val="minor"/>
    </font>
    <font>
      <sz val="12"/>
      <color rgb="FFFF0000"/>
      <name val="游ゴシック"/>
      <family val="2"/>
      <charset val="128"/>
      <scheme val="minor"/>
    </font>
    <font>
      <sz val="12"/>
      <color rgb="FFFF0000"/>
      <name val="游ゴシック"/>
      <family val="3"/>
      <charset val="128"/>
      <scheme val="minor"/>
    </font>
    <font>
      <b/>
      <sz val="11"/>
      <color rgb="FF5F5F5F"/>
      <name val="游ゴシック"/>
      <family val="3"/>
      <charset val="128"/>
      <scheme val="minor"/>
    </font>
    <font>
      <b/>
      <u/>
      <sz val="14"/>
      <color rgb="FF0000FF"/>
      <name val="游ゴシック"/>
      <family val="3"/>
      <charset val="128"/>
      <scheme val="minor"/>
    </font>
    <font>
      <b/>
      <sz val="9"/>
      <color indexed="81"/>
      <name val="MS P ゴシック"/>
      <family val="3"/>
      <charset val="128"/>
    </font>
    <font>
      <sz val="9"/>
      <color theme="1"/>
      <name val="游ゴシック"/>
      <family val="2"/>
      <charset val="128"/>
      <scheme val="minor"/>
    </font>
    <font>
      <b/>
      <sz val="11"/>
      <color rgb="FFFF0000"/>
      <name val="游ゴシック"/>
      <family val="3"/>
      <charset val="128"/>
      <scheme val="minor"/>
    </font>
    <font>
      <b/>
      <sz val="9"/>
      <color rgb="FFFF0000"/>
      <name val="游ゴシック"/>
      <family val="3"/>
      <charset val="128"/>
      <scheme val="minor"/>
    </font>
    <font>
      <b/>
      <sz val="9"/>
      <color rgb="FF0000FF"/>
      <name val="游ゴシック"/>
      <family val="3"/>
      <charset val="128"/>
      <scheme val="minor"/>
    </font>
    <font>
      <b/>
      <sz val="11"/>
      <color rgb="FF0000FF"/>
      <name val="游ゴシック"/>
      <family val="3"/>
      <charset val="128"/>
      <scheme val="minor"/>
    </font>
  </fonts>
  <fills count="14">
    <fill>
      <patternFill patternType="none"/>
    </fill>
    <fill>
      <patternFill patternType="gray125"/>
    </fill>
    <fill>
      <patternFill patternType="solid">
        <fgColor rgb="FFFFFF66"/>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999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92D050"/>
        <bgColor indexed="64"/>
      </patternFill>
    </fill>
    <fill>
      <patternFill patternType="solid">
        <fgColor rgb="FFFFFFCC"/>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rgb="FFD5D5FF"/>
        <bgColor indexed="64"/>
      </patternFill>
    </fill>
  </fills>
  <borders count="8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right/>
      <top/>
      <bottom style="double">
        <color indexed="64"/>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double">
        <color indexed="64"/>
      </bottom>
      <diagonal/>
    </border>
    <border>
      <left style="thin">
        <color theme="5" tint="0.39994506668294322"/>
      </left>
      <right/>
      <top style="thin">
        <color theme="5" tint="0.39994506668294322"/>
      </top>
      <bottom style="thin">
        <color auto="1"/>
      </bottom>
      <diagonal/>
    </border>
    <border>
      <left/>
      <right style="thin">
        <color theme="5" tint="0.39994506668294322"/>
      </right>
      <top style="thin">
        <color theme="5" tint="0.39994506668294322"/>
      </top>
      <bottom style="thin">
        <color auto="1"/>
      </bottom>
      <diagonal/>
    </border>
    <border>
      <left style="thin">
        <color indexed="64"/>
      </left>
      <right/>
      <top style="thin">
        <color indexed="64"/>
      </top>
      <bottom style="double">
        <color indexed="64"/>
      </bottom>
      <diagonal/>
    </border>
    <border>
      <left style="thin">
        <color theme="5" tint="0.39994506668294322"/>
      </left>
      <right/>
      <top style="thin">
        <color indexed="64"/>
      </top>
      <bottom style="double">
        <color indexed="64"/>
      </bottom>
      <diagonal/>
    </border>
    <border>
      <left style="thin">
        <color auto="1"/>
      </left>
      <right style="thin">
        <color theme="5" tint="0.39994506668294322"/>
      </right>
      <top style="thin">
        <color auto="1"/>
      </top>
      <bottom style="double">
        <color indexed="64"/>
      </bottom>
      <diagonal/>
    </border>
    <border>
      <left/>
      <right style="thin">
        <color indexed="64"/>
      </right>
      <top style="thin">
        <color auto="1"/>
      </top>
      <bottom style="double">
        <color indexed="64"/>
      </bottom>
      <diagonal/>
    </border>
    <border>
      <left style="thin">
        <color indexed="64"/>
      </left>
      <right/>
      <top/>
      <bottom style="thin">
        <color indexed="64"/>
      </bottom>
      <diagonal/>
    </border>
    <border>
      <left style="thin">
        <color auto="1"/>
      </left>
      <right style="thin">
        <color theme="5" tint="0.39994506668294322"/>
      </right>
      <top/>
      <bottom style="thin">
        <color indexed="64"/>
      </bottom>
      <diagonal/>
    </border>
    <border>
      <left/>
      <right style="thin">
        <color indexed="64"/>
      </right>
      <top/>
      <bottom style="thin">
        <color indexed="64"/>
      </bottom>
      <diagonal/>
    </border>
    <border>
      <left style="medium">
        <color indexed="64"/>
      </left>
      <right/>
      <top style="dotted">
        <color indexed="64"/>
      </top>
      <bottom style="medium">
        <color indexed="64"/>
      </bottom>
      <diagonal/>
    </border>
    <border diagonalUp="1">
      <left style="thin">
        <color theme="5" tint="0.39994506668294322"/>
      </left>
      <right/>
      <top style="dotted">
        <color indexed="64"/>
      </top>
      <bottom style="medium">
        <color indexed="64"/>
      </bottom>
      <diagonal style="thin">
        <color indexed="64"/>
      </diagonal>
    </border>
    <border diagonalUp="1">
      <left style="thin">
        <color auto="1"/>
      </left>
      <right style="thin">
        <color theme="5" tint="0.39994506668294322"/>
      </right>
      <top style="dotted">
        <color indexed="64"/>
      </top>
      <bottom style="medium">
        <color indexed="64"/>
      </bottom>
      <diagonal style="thin">
        <color indexed="64"/>
      </diagonal>
    </border>
    <border>
      <left style="thin">
        <color indexed="64"/>
      </left>
      <right style="thin">
        <color indexed="64"/>
      </right>
      <top style="dotted">
        <color indexed="64"/>
      </top>
      <bottom style="medium">
        <color indexed="64"/>
      </bottom>
      <diagonal/>
    </border>
    <border>
      <left style="medium">
        <color indexed="64"/>
      </left>
      <right/>
      <top style="medium">
        <color indexed="64"/>
      </top>
      <bottom style="thin">
        <color indexed="64"/>
      </bottom>
      <diagonal/>
    </border>
    <border>
      <left style="thin">
        <color auto="1"/>
      </left>
      <right style="thin">
        <color theme="5" tint="0.39994506668294322"/>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thin">
        <color theme="5" tint="0.39994506668294322"/>
      </left>
      <right/>
      <top style="thin">
        <color indexed="64"/>
      </top>
      <bottom style="thin">
        <color indexed="64"/>
      </bottom>
      <diagonal/>
    </border>
    <border>
      <left style="thin">
        <color auto="1"/>
      </left>
      <right style="thin">
        <color theme="5" tint="0.3999450666829432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auto="1"/>
      </left>
      <right style="thin">
        <color theme="5" tint="0.39994506668294322"/>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style="dotted">
        <color indexed="64"/>
      </bottom>
      <diagonal/>
    </border>
    <border>
      <left style="thin">
        <color theme="5" tint="0.39994506668294322"/>
      </left>
      <right/>
      <top style="medium">
        <color indexed="64"/>
      </top>
      <bottom style="dotted">
        <color indexed="64"/>
      </bottom>
      <diagonal/>
    </border>
    <border>
      <left style="thin">
        <color auto="1"/>
      </left>
      <right style="thin">
        <color theme="5" tint="0.39994506668294322"/>
      </right>
      <top style="medium">
        <color indexed="64"/>
      </top>
      <bottom style="dotted">
        <color indexed="64"/>
      </bottom>
      <diagonal/>
    </border>
    <border>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dotted">
        <color indexed="64"/>
      </top>
      <bottom style="medium">
        <color indexed="64"/>
      </bottom>
      <diagonal/>
    </border>
    <border>
      <left/>
      <right style="medium">
        <color indexed="64"/>
      </right>
      <top style="dotted">
        <color indexed="64"/>
      </top>
      <bottom style="medium">
        <color indexed="64"/>
      </bottom>
      <diagonal/>
    </border>
    <border diagonalUp="1">
      <left style="thin">
        <color theme="5" tint="0.39994506668294322"/>
      </left>
      <right/>
      <top style="medium">
        <color indexed="64"/>
      </top>
      <bottom style="thin">
        <color indexed="64"/>
      </bottom>
      <diagonal style="thin">
        <color auto="1"/>
      </diagonal>
    </border>
    <border diagonalUp="1">
      <left style="thin">
        <color auto="1"/>
      </left>
      <right style="thin">
        <color theme="5" tint="0.39994506668294322"/>
      </right>
      <top style="medium">
        <color indexed="64"/>
      </top>
      <bottom style="thin">
        <color indexed="64"/>
      </bottom>
      <diagonal style="thin">
        <color auto="1"/>
      </diagonal>
    </border>
    <border diagonalUp="1">
      <left style="thin">
        <color indexed="64"/>
      </left>
      <right style="thin">
        <color indexed="64"/>
      </right>
      <top style="medium">
        <color indexed="64"/>
      </top>
      <bottom style="thin">
        <color indexed="64"/>
      </bottom>
      <diagonal style="thin">
        <color auto="1"/>
      </diagonal>
    </border>
    <border diagonalUp="1">
      <left style="thin">
        <color indexed="64"/>
      </left>
      <right style="medium">
        <color indexed="64"/>
      </right>
      <top style="medium">
        <color indexed="64"/>
      </top>
      <bottom style="thin">
        <color indexed="64"/>
      </bottom>
      <diagonal style="thin">
        <color auto="1"/>
      </diagonal>
    </border>
    <border>
      <left style="medium">
        <color indexed="64"/>
      </left>
      <right/>
      <top/>
      <bottom style="medium">
        <color indexed="64"/>
      </bottom>
      <diagonal/>
    </border>
    <border diagonalUp="1">
      <left style="thin">
        <color theme="5" tint="0.39994506668294322"/>
      </left>
      <right/>
      <top style="thin">
        <color indexed="64"/>
      </top>
      <bottom style="medium">
        <color indexed="64"/>
      </bottom>
      <diagonal style="thin">
        <color auto="1"/>
      </diagonal>
    </border>
    <border diagonalUp="1">
      <left style="thin">
        <color auto="1"/>
      </left>
      <right style="thin">
        <color theme="5" tint="0.39994506668294322"/>
      </right>
      <top style="thin">
        <color indexed="64"/>
      </top>
      <bottom style="medium">
        <color indexed="64"/>
      </bottom>
      <diagonal style="thin">
        <color auto="1"/>
      </diagonal>
    </border>
    <border diagonalUp="1">
      <left/>
      <right style="thin">
        <color indexed="64"/>
      </right>
      <top style="thin">
        <color indexed="64"/>
      </top>
      <bottom style="medium">
        <color indexed="64"/>
      </bottom>
      <diagonal style="thin">
        <color auto="1"/>
      </diagonal>
    </border>
    <border diagonalUp="1">
      <left style="thin">
        <color indexed="64"/>
      </left>
      <right style="medium">
        <color indexed="64"/>
      </right>
      <top style="thin">
        <color indexed="64"/>
      </top>
      <bottom style="medium">
        <color indexed="64"/>
      </bottom>
      <diagonal style="thin">
        <color auto="1"/>
      </diagonal>
    </border>
    <border>
      <left style="thin">
        <color theme="5" tint="0.39994506668294322"/>
      </left>
      <right/>
      <top/>
      <bottom/>
      <diagonal/>
    </border>
    <border>
      <left/>
      <right style="thin">
        <color theme="5" tint="0.39994506668294322"/>
      </right>
      <top/>
      <bottom/>
      <diagonal/>
    </border>
    <border>
      <left style="thin">
        <color theme="5" tint="0.39994506668294322"/>
      </left>
      <right/>
      <top/>
      <bottom style="thin">
        <color theme="5" tint="0.39994506668294322"/>
      </bottom>
      <diagonal/>
    </border>
    <border>
      <left/>
      <right style="thin">
        <color theme="5" tint="0.39994506668294322"/>
      </right>
      <top/>
      <bottom style="thin">
        <color theme="5" tint="0.39994506668294322"/>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diagonal style="thin">
        <color indexed="64"/>
      </diagonal>
    </border>
    <border diagonalUp="1">
      <left style="thin">
        <color indexed="64"/>
      </left>
      <right style="thin">
        <color indexed="64"/>
      </right>
      <top/>
      <bottom style="thin">
        <color indexed="64"/>
      </bottom>
      <diagonal style="thin">
        <color indexed="64"/>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s>
  <cellStyleXfs count="9">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3" fillId="0" borderId="0"/>
    <xf numFmtId="9" fontId="23" fillId="0" borderId="0" applyFont="0" applyFill="0" applyBorder="0" applyAlignment="0" applyProtection="0">
      <alignment vertical="center"/>
    </xf>
    <xf numFmtId="38" fontId="23" fillId="0" borderId="0" applyFont="0" applyFill="0" applyBorder="0" applyAlignment="0" applyProtection="0">
      <alignment vertical="center"/>
    </xf>
    <xf numFmtId="0" fontId="43" fillId="0" borderId="0" applyNumberFormat="0" applyFill="0" applyBorder="0" applyAlignment="0" applyProtection="0"/>
    <xf numFmtId="0" fontId="1" fillId="0" borderId="0">
      <alignment vertical="center"/>
    </xf>
    <xf numFmtId="38" fontId="1" fillId="0" borderId="0" applyFont="0" applyFill="0" applyBorder="0" applyAlignment="0" applyProtection="0">
      <alignment vertical="center"/>
    </xf>
  </cellStyleXfs>
  <cellXfs count="445">
    <xf numFmtId="0" fontId="0" fillId="0" borderId="0" xfId="0">
      <alignment vertical="center"/>
    </xf>
    <xf numFmtId="0" fontId="3" fillId="0" borderId="0" xfId="0" applyFont="1">
      <alignment vertical="center"/>
    </xf>
    <xf numFmtId="0" fontId="0" fillId="0" borderId="2" xfId="0" applyBorder="1">
      <alignment vertical="center"/>
    </xf>
    <xf numFmtId="38" fontId="3" fillId="0" borderId="2" xfId="1" applyFont="1" applyBorder="1">
      <alignment vertical="center"/>
    </xf>
    <xf numFmtId="176" fontId="3" fillId="0" borderId="2" xfId="0" applyNumberFormat="1" applyFont="1" applyBorder="1">
      <alignment vertical="center"/>
    </xf>
    <xf numFmtId="176" fontId="3" fillId="2" borderId="2" xfId="0" applyNumberFormat="1" applyFont="1" applyFill="1" applyBorder="1">
      <alignment vertical="center"/>
    </xf>
    <xf numFmtId="0" fontId="3" fillId="2" borderId="2" xfId="0" applyFont="1" applyFill="1" applyBorder="1" applyAlignment="1">
      <alignment horizontal="center" vertical="center"/>
    </xf>
    <xf numFmtId="0" fontId="0" fillId="0" borderId="3" xfId="0" applyBorder="1">
      <alignment vertical="center"/>
    </xf>
    <xf numFmtId="0" fontId="3" fillId="2" borderId="4" xfId="0" applyFont="1" applyFill="1" applyBorder="1">
      <alignment vertical="center"/>
    </xf>
    <xf numFmtId="0" fontId="3" fillId="2" borderId="7" xfId="0" applyFont="1" applyFill="1" applyBorder="1">
      <alignment vertical="center"/>
    </xf>
    <xf numFmtId="0" fontId="0" fillId="0" borderId="0" xfId="0" applyAlignment="1">
      <alignment horizontal="center" vertical="center"/>
    </xf>
    <xf numFmtId="0" fontId="0" fillId="0" borderId="11" xfId="0" applyBorder="1">
      <alignment vertical="center"/>
    </xf>
    <xf numFmtId="0" fontId="0" fillId="0" borderId="12" xfId="0" applyBorder="1">
      <alignment vertical="center"/>
    </xf>
    <xf numFmtId="0" fontId="0" fillId="0" borderId="16" xfId="0" applyBorder="1">
      <alignment vertical="center"/>
    </xf>
    <xf numFmtId="0" fontId="5" fillId="0" borderId="3" xfId="0" applyFont="1" applyBorder="1">
      <alignment vertical="center"/>
    </xf>
    <xf numFmtId="0" fontId="5" fillId="0" borderId="19" xfId="0" applyFont="1" applyBorder="1">
      <alignment vertical="center"/>
    </xf>
    <xf numFmtId="0" fontId="0" fillId="0" borderId="13" xfId="0" applyBorder="1" applyAlignment="1">
      <alignment horizontal="center" vertical="center" wrapText="1"/>
    </xf>
    <xf numFmtId="0" fontId="0" fillId="0" borderId="0" xfId="0" applyAlignment="1">
      <alignment horizontal="center" vertical="center" wrapText="1"/>
    </xf>
    <xf numFmtId="0" fontId="8" fillId="0" borderId="0" xfId="0" applyFont="1">
      <alignment vertical="center"/>
    </xf>
    <xf numFmtId="0" fontId="10" fillId="0" borderId="0" xfId="0" applyFont="1">
      <alignment vertical="center"/>
    </xf>
    <xf numFmtId="0" fontId="0" fillId="0" borderId="20" xfId="0" applyBorder="1">
      <alignment vertical="center"/>
    </xf>
    <xf numFmtId="0" fontId="0" fillId="0" borderId="15" xfId="0" applyBorder="1">
      <alignment vertical="center"/>
    </xf>
    <xf numFmtId="0" fontId="0" fillId="0" borderId="19" xfId="0" applyBorder="1">
      <alignment vertical="center"/>
    </xf>
    <xf numFmtId="0" fontId="0" fillId="0" borderId="18" xfId="0" applyBorder="1">
      <alignment vertical="center"/>
    </xf>
    <xf numFmtId="0" fontId="7" fillId="0" borderId="10" xfId="0" applyFont="1" applyBorder="1" applyAlignment="1">
      <alignment horizontal="center" vertical="center"/>
    </xf>
    <xf numFmtId="0" fontId="7" fillId="0" borderId="0" xfId="0" applyFont="1" applyAlignment="1">
      <alignment horizontal="center" vertical="center"/>
    </xf>
    <xf numFmtId="176" fontId="0" fillId="3" borderId="2" xfId="0" applyNumberFormat="1" applyFill="1" applyBorder="1" applyAlignment="1">
      <alignment horizontal="center" vertical="center"/>
    </xf>
    <xf numFmtId="0" fontId="10" fillId="0" borderId="0" xfId="0" applyFont="1" applyAlignment="1">
      <alignment horizontal="center" vertical="center"/>
    </xf>
    <xf numFmtId="0" fontId="3" fillId="0" borderId="0" xfId="0" applyFont="1" applyAlignment="1">
      <alignment horizontal="center" vertical="center"/>
    </xf>
    <xf numFmtId="38" fontId="3" fillId="0" borderId="4" xfId="1" applyFont="1" applyBorder="1" applyAlignment="1">
      <alignment horizontal="center" vertical="center"/>
    </xf>
    <xf numFmtId="38" fontId="3" fillId="0" borderId="17" xfId="1" applyFont="1" applyBorder="1" applyAlignment="1">
      <alignment horizontal="center" vertical="center"/>
    </xf>
    <xf numFmtId="176" fontId="3" fillId="0" borderId="4" xfId="0" applyNumberFormat="1" applyFont="1" applyBorder="1" applyAlignment="1">
      <alignment horizontal="center" vertical="center"/>
    </xf>
    <xf numFmtId="176" fontId="3" fillId="0" borderId="17" xfId="0" applyNumberFormat="1" applyFont="1" applyBorder="1" applyAlignment="1">
      <alignment horizontal="center" vertical="center"/>
    </xf>
    <xf numFmtId="176" fontId="3" fillId="3" borderId="4" xfId="0" applyNumberFormat="1" applyFont="1" applyFill="1" applyBorder="1" applyAlignment="1">
      <alignment horizontal="center" vertical="center"/>
    </xf>
    <xf numFmtId="176" fontId="3" fillId="3" borderId="17" xfId="0" applyNumberFormat="1" applyFont="1" applyFill="1" applyBorder="1" applyAlignment="1">
      <alignment horizontal="center" vertical="center"/>
    </xf>
    <xf numFmtId="0" fontId="0" fillId="5" borderId="2" xfId="0" applyFill="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11" fillId="0" borderId="0" xfId="0" applyFont="1" applyAlignment="1">
      <alignment vertical="center"/>
    </xf>
    <xf numFmtId="0" fontId="11" fillId="0" borderId="0" xfId="0" applyFont="1" applyAlignment="1">
      <alignment horizontal="left" vertical="center"/>
    </xf>
    <xf numFmtId="176" fontId="3" fillId="6" borderId="2" xfId="0" applyNumberFormat="1" applyFont="1" applyFill="1" applyBorder="1">
      <alignment vertical="center"/>
    </xf>
    <xf numFmtId="1" fontId="3" fillId="6" borderId="2" xfId="0" applyNumberFormat="1" applyFont="1" applyFill="1" applyBorder="1" applyAlignment="1">
      <alignment horizontal="center" vertical="center"/>
    </xf>
    <xf numFmtId="0" fontId="0" fillId="0" borderId="0" xfId="0" applyBorder="1">
      <alignment vertical="center"/>
    </xf>
    <xf numFmtId="0" fontId="3" fillId="0" borderId="0" xfId="0" applyFont="1" applyBorder="1">
      <alignment vertical="center"/>
    </xf>
    <xf numFmtId="0" fontId="3" fillId="0" borderId="4" xfId="0" applyFont="1" applyFill="1" applyBorder="1">
      <alignment vertical="center"/>
    </xf>
    <xf numFmtId="0" fontId="3" fillId="0" borderId="7" xfId="0" applyFont="1" applyFill="1" applyBorder="1">
      <alignment vertical="center"/>
    </xf>
    <xf numFmtId="0" fontId="14" fillId="0" borderId="0" xfId="0" applyFont="1" applyBorder="1">
      <alignment vertical="center"/>
    </xf>
    <xf numFmtId="0" fontId="0" fillId="0" borderId="0" xfId="0" applyAlignment="1">
      <alignment vertical="top"/>
    </xf>
    <xf numFmtId="9" fontId="15" fillId="0" borderId="0" xfId="2" applyFont="1" applyAlignment="1">
      <alignment horizontal="left" vertical="top"/>
    </xf>
    <xf numFmtId="0" fontId="0" fillId="0" borderId="21" xfId="0" quotePrefix="1" applyFill="1" applyBorder="1" applyAlignment="1">
      <alignment horizontal="right" vertical="top"/>
    </xf>
    <xf numFmtId="0" fontId="0" fillId="0" borderId="0" xfId="0" applyAlignment="1">
      <alignment horizontal="center" vertical="center"/>
    </xf>
    <xf numFmtId="0" fontId="0" fillId="0" borderId="0" xfId="0" applyAlignment="1">
      <alignment horizontal="center" vertical="center"/>
    </xf>
    <xf numFmtId="0" fontId="0" fillId="7" borderId="0" xfId="0" applyFill="1">
      <alignment vertical="center"/>
    </xf>
    <xf numFmtId="0" fontId="3" fillId="7" borderId="0" xfId="0" applyFont="1" applyFill="1">
      <alignment vertical="center"/>
    </xf>
    <xf numFmtId="0" fontId="16" fillId="7" borderId="0" xfId="0" applyFont="1" applyFill="1">
      <alignment vertical="center"/>
    </xf>
    <xf numFmtId="0" fontId="0" fillId="7" borderId="0" xfId="0" applyFill="1" applyBorder="1">
      <alignment vertical="center"/>
    </xf>
    <xf numFmtId="0" fontId="0" fillId="7" borderId="0" xfId="0" applyFill="1" applyBorder="1" applyAlignment="1">
      <alignment horizontal="center" vertical="center"/>
    </xf>
    <xf numFmtId="0" fontId="3" fillId="7" borderId="0" xfId="0" applyFont="1" applyFill="1" applyBorder="1">
      <alignment vertical="center"/>
    </xf>
    <xf numFmtId="0" fontId="0" fillId="7" borderId="0" xfId="0" applyFill="1" applyBorder="1" applyAlignment="1">
      <alignment horizontal="left"/>
    </xf>
    <xf numFmtId="0" fontId="11" fillId="7" borderId="0" xfId="0" applyFont="1" applyFill="1" applyAlignment="1">
      <alignment horizontal="left" vertical="center"/>
    </xf>
    <xf numFmtId="0" fontId="11" fillId="7" borderId="0" xfId="0" applyFont="1" applyFill="1" applyAlignment="1">
      <alignment vertical="center"/>
    </xf>
    <xf numFmtId="0" fontId="11" fillId="7" borderId="0" xfId="0" applyFont="1" applyFill="1" applyAlignment="1">
      <alignment horizontal="center" vertical="center"/>
    </xf>
    <xf numFmtId="0" fontId="4" fillId="7" borderId="0" xfId="0" applyFont="1" applyFill="1">
      <alignment vertical="center"/>
    </xf>
    <xf numFmtId="0" fontId="4" fillId="7" borderId="0" xfId="0" applyFont="1" applyFill="1" applyAlignment="1">
      <alignment vertical="center" wrapText="1"/>
    </xf>
    <xf numFmtId="0" fontId="4" fillId="7" borderId="0" xfId="0" applyFont="1" applyFill="1" applyBorder="1">
      <alignment vertical="center"/>
    </xf>
    <xf numFmtId="0" fontId="0" fillId="7" borderId="0" xfId="0" applyFill="1" applyBorder="1" applyAlignment="1">
      <alignment horizontal="left" vertical="center"/>
    </xf>
    <xf numFmtId="0" fontId="17" fillId="7" borderId="0" xfId="0" applyFont="1" applyFill="1" applyAlignment="1">
      <alignment horizontal="right" vertical="center"/>
    </xf>
    <xf numFmtId="0" fontId="19" fillId="0" borderId="23" xfId="0" applyFont="1" applyBorder="1">
      <alignment vertical="center"/>
    </xf>
    <xf numFmtId="0" fontId="20" fillId="0" borderId="23" xfId="0" applyFont="1" applyBorder="1" applyAlignment="1">
      <alignment horizontal="center" vertical="center"/>
    </xf>
    <xf numFmtId="0" fontId="0" fillId="7" borderId="0" xfId="0" applyFont="1" applyFill="1" applyAlignment="1">
      <alignment horizontal="left" vertical="center"/>
    </xf>
    <xf numFmtId="56" fontId="20" fillId="0" borderId="23" xfId="0" quotePrefix="1" applyNumberFormat="1" applyFont="1" applyBorder="1" applyAlignment="1">
      <alignment horizontal="center" vertical="center"/>
    </xf>
    <xf numFmtId="56" fontId="19" fillId="0" borderId="23" xfId="0" quotePrefix="1" applyNumberFormat="1" applyFont="1" applyBorder="1" applyAlignment="1">
      <alignment horizontal="center" vertical="center"/>
    </xf>
    <xf numFmtId="177" fontId="0" fillId="0" borderId="0" xfId="1" applyNumberFormat="1" applyFont="1">
      <alignment vertical="center"/>
    </xf>
    <xf numFmtId="38" fontId="18" fillId="7" borderId="0" xfId="1" applyFont="1" applyFill="1">
      <alignment vertical="center"/>
    </xf>
    <xf numFmtId="0" fontId="0" fillId="7" borderId="0" xfId="0" applyFill="1" applyBorder="1" applyAlignment="1">
      <alignment horizontal="right" vertical="center"/>
    </xf>
    <xf numFmtId="38" fontId="18" fillId="2" borderId="2" xfId="1" applyFont="1" applyFill="1" applyBorder="1" applyAlignment="1">
      <alignment vertical="center"/>
    </xf>
    <xf numFmtId="38" fontId="18" fillId="2" borderId="24" xfId="1" applyFont="1" applyFill="1" applyBorder="1" applyAlignment="1">
      <alignment vertical="center"/>
    </xf>
    <xf numFmtId="0" fontId="21" fillId="2" borderId="2" xfId="1" applyNumberFormat="1" applyFont="1" applyFill="1" applyBorder="1" applyAlignment="1">
      <alignment horizontal="center" vertical="center"/>
    </xf>
    <xf numFmtId="38" fontId="21" fillId="2" borderId="2" xfId="1" applyFont="1" applyFill="1" applyBorder="1" applyAlignment="1">
      <alignment horizontal="center" vertical="center"/>
    </xf>
    <xf numFmtId="0" fontId="23" fillId="0" borderId="0" xfId="3"/>
    <xf numFmtId="0" fontId="24" fillId="0" borderId="0" xfId="3" applyFont="1" applyFill="1" applyAlignment="1">
      <alignment horizontal="left" vertical="center"/>
    </xf>
    <xf numFmtId="0" fontId="25" fillId="0" borderId="0" xfId="3" applyFont="1" applyFill="1" applyAlignment="1">
      <alignment horizontal="left" vertical="center"/>
    </xf>
    <xf numFmtId="178" fontId="25" fillId="0" borderId="0" xfId="4" applyNumberFormat="1" applyFont="1" applyFill="1" applyAlignment="1">
      <alignment horizontal="left" vertical="center"/>
    </xf>
    <xf numFmtId="0" fontId="26" fillId="0" borderId="0" xfId="3" applyFont="1" applyFill="1" applyAlignment="1">
      <alignment horizontal="left" vertical="center"/>
    </xf>
    <xf numFmtId="0" fontId="27" fillId="0" borderId="0" xfId="3" applyFont="1" applyFill="1" applyAlignment="1">
      <alignment horizontal="left" vertical="center"/>
    </xf>
    <xf numFmtId="0" fontId="28" fillId="9" borderId="0" xfId="3" applyFont="1" applyFill="1" applyAlignment="1">
      <alignment horizontal="left" vertical="center"/>
    </xf>
    <xf numFmtId="0" fontId="23" fillId="9" borderId="0" xfId="3" applyFill="1" applyAlignment="1">
      <alignment vertical="center"/>
    </xf>
    <xf numFmtId="0" fontId="23" fillId="9" borderId="0" xfId="3" applyFill="1"/>
    <xf numFmtId="0" fontId="29" fillId="0" borderId="0" xfId="3" applyFont="1" applyAlignment="1">
      <alignment horizontal="left" vertical="center"/>
    </xf>
    <xf numFmtId="0" fontId="23" fillId="0" borderId="0" xfId="3" applyAlignment="1">
      <alignment vertical="center"/>
    </xf>
    <xf numFmtId="0" fontId="30" fillId="0" borderId="0" xfId="3" applyFont="1" applyAlignment="1">
      <alignment horizontal="left" vertical="center"/>
    </xf>
    <xf numFmtId="0" fontId="23" fillId="0" borderId="0" xfId="3" applyAlignment="1">
      <alignment horizontal="left" vertical="center"/>
    </xf>
    <xf numFmtId="0" fontId="21" fillId="0" borderId="0" xfId="3" applyFont="1" applyAlignment="1">
      <alignment horizontal="left" vertical="center"/>
    </xf>
    <xf numFmtId="0" fontId="4" fillId="0" borderId="0" xfId="3" applyFont="1" applyAlignment="1">
      <alignment horizontal="right"/>
    </xf>
    <xf numFmtId="0" fontId="34" fillId="0" borderId="27" xfId="3" applyFont="1" applyBorder="1" applyAlignment="1">
      <alignment horizontal="center" vertical="center" wrapText="1"/>
    </xf>
    <xf numFmtId="0" fontId="12" fillId="10" borderId="29" xfId="3" applyFont="1" applyFill="1" applyBorder="1" applyAlignment="1">
      <alignment horizontal="center" vertical="center" wrapText="1"/>
    </xf>
    <xf numFmtId="0" fontId="12" fillId="10" borderId="30" xfId="3" applyFont="1" applyFill="1" applyBorder="1" applyAlignment="1">
      <alignment horizontal="center" vertical="center" wrapText="1"/>
    </xf>
    <xf numFmtId="0" fontId="12" fillId="10" borderId="24" xfId="3" applyFont="1" applyFill="1" applyBorder="1" applyAlignment="1">
      <alignment horizontal="center" vertical="center" wrapText="1"/>
    </xf>
    <xf numFmtId="0" fontId="23" fillId="0" borderId="31" xfId="3" applyFont="1" applyBorder="1" applyAlignment="1">
      <alignment horizontal="left" vertical="center"/>
    </xf>
    <xf numFmtId="38" fontId="0" fillId="0" borderId="33" xfId="5" applyFont="1" applyBorder="1">
      <alignment vertical="center"/>
    </xf>
    <xf numFmtId="0" fontId="36" fillId="0" borderId="0" xfId="3" applyFont="1" applyAlignment="1">
      <alignment vertical="center"/>
    </xf>
    <xf numFmtId="0" fontId="4" fillId="0" borderId="34" xfId="3" applyFont="1" applyFill="1" applyBorder="1" applyAlignment="1">
      <alignment horizontal="left" vertical="center" wrapText="1"/>
    </xf>
    <xf numFmtId="38" fontId="4" fillId="0" borderId="35" xfId="5" applyFont="1" applyFill="1" applyBorder="1">
      <alignment vertical="center"/>
    </xf>
    <xf numFmtId="38" fontId="4" fillId="0" borderId="36" xfId="5" applyFont="1" applyFill="1" applyBorder="1">
      <alignment vertical="center"/>
    </xf>
    <xf numFmtId="178" fontId="4" fillId="0" borderId="37" xfId="4" applyNumberFormat="1" applyFont="1" applyFill="1" applyBorder="1">
      <alignment vertical="center"/>
    </xf>
    <xf numFmtId="0" fontId="35" fillId="0" borderId="38" xfId="3" applyFont="1" applyBorder="1" applyAlignment="1">
      <alignment horizontal="left" vertical="center"/>
    </xf>
    <xf numFmtId="38" fontId="0" fillId="0" borderId="11" xfId="5" applyFont="1" applyBorder="1">
      <alignment vertical="center"/>
    </xf>
    <xf numFmtId="0" fontId="35" fillId="0" borderId="40" xfId="3" applyFont="1" applyBorder="1" applyAlignment="1">
      <alignment horizontal="left" vertical="center"/>
    </xf>
    <xf numFmtId="178" fontId="0" fillId="0" borderId="33" xfId="4" applyNumberFormat="1" applyFont="1" applyBorder="1">
      <alignment vertical="center"/>
    </xf>
    <xf numFmtId="178" fontId="0" fillId="0" borderId="41" xfId="4" applyNumberFormat="1" applyFont="1" applyBorder="1">
      <alignment vertical="center"/>
    </xf>
    <xf numFmtId="0" fontId="35" fillId="0" borderId="42" xfId="3" applyFont="1" applyBorder="1" applyAlignment="1">
      <alignment horizontal="left" vertical="center" wrapText="1"/>
    </xf>
    <xf numFmtId="38" fontId="0" fillId="0" borderId="44" xfId="5" applyFont="1" applyBorder="1">
      <alignment vertical="center"/>
    </xf>
    <xf numFmtId="38" fontId="0" fillId="0" borderId="45" xfId="5" applyNumberFormat="1" applyFont="1" applyBorder="1">
      <alignment vertical="center"/>
    </xf>
    <xf numFmtId="38" fontId="0" fillId="0" borderId="2" xfId="5" applyNumberFormat="1" applyFont="1" applyBorder="1">
      <alignment vertical="center"/>
    </xf>
    <xf numFmtId="38" fontId="0" fillId="0" borderId="46" xfId="5" applyNumberFormat="1" applyFont="1" applyBorder="1">
      <alignment vertical="center"/>
    </xf>
    <xf numFmtId="38" fontId="0" fillId="0" borderId="45" xfId="5" applyNumberFormat="1" applyFont="1" applyFill="1" applyBorder="1">
      <alignment vertical="center"/>
    </xf>
    <xf numFmtId="0" fontId="35" fillId="0" borderId="42" xfId="3" applyFont="1" applyBorder="1" applyAlignment="1">
      <alignment horizontal="left" vertical="center"/>
    </xf>
    <xf numFmtId="0" fontId="35" fillId="0" borderId="47" xfId="3" applyFont="1" applyBorder="1" applyAlignment="1">
      <alignment horizontal="left" vertical="center"/>
    </xf>
    <xf numFmtId="38" fontId="0" fillId="0" borderId="49" xfId="5" applyFont="1" applyBorder="1">
      <alignment vertical="center"/>
    </xf>
    <xf numFmtId="38" fontId="0" fillId="0" borderId="50" xfId="5" applyFont="1" applyBorder="1">
      <alignment vertical="center"/>
    </xf>
    <xf numFmtId="0" fontId="4" fillId="0" borderId="51" xfId="3" applyFont="1" applyFill="1" applyBorder="1" applyAlignment="1">
      <alignment horizontal="left" vertical="center" wrapText="1"/>
    </xf>
    <xf numFmtId="38" fontId="4" fillId="0" borderId="52" xfId="5" applyFont="1" applyFill="1" applyBorder="1">
      <alignment vertical="center"/>
    </xf>
    <xf numFmtId="38" fontId="4" fillId="0" borderId="53" xfId="5" applyFont="1" applyFill="1" applyBorder="1">
      <alignment vertical="center"/>
    </xf>
    <xf numFmtId="38" fontId="4" fillId="0" borderId="54" xfId="5" applyNumberFormat="1" applyFont="1" applyFill="1" applyBorder="1">
      <alignment vertical="center"/>
    </xf>
    <xf numFmtId="38" fontId="4" fillId="0" borderId="55" xfId="5" applyNumberFormat="1" applyFont="1" applyFill="1" applyBorder="1" applyAlignment="1">
      <alignment vertical="center" shrinkToFit="1"/>
    </xf>
    <xf numFmtId="38" fontId="4" fillId="0" borderId="55" xfId="5" applyNumberFormat="1" applyFont="1" applyFill="1" applyBorder="1">
      <alignment vertical="center"/>
    </xf>
    <xf numFmtId="38" fontId="4" fillId="0" borderId="56" xfId="5" applyNumberFormat="1" applyFont="1" applyFill="1" applyBorder="1">
      <alignment vertical="center"/>
    </xf>
    <xf numFmtId="178" fontId="29" fillId="0" borderId="37" xfId="4" applyNumberFormat="1" applyFont="1" applyFill="1" applyBorder="1">
      <alignment vertical="center"/>
    </xf>
    <xf numFmtId="0" fontId="35" fillId="0" borderId="31" xfId="3" applyFont="1" applyFill="1" applyBorder="1" applyAlignment="1">
      <alignment horizontal="left" vertical="center" wrapText="1"/>
    </xf>
    <xf numFmtId="38" fontId="0" fillId="0" borderId="33" xfId="5" applyFont="1" applyFill="1" applyBorder="1">
      <alignment vertical="center"/>
    </xf>
    <xf numFmtId="38" fontId="0" fillId="0" borderId="57" xfId="5" applyFont="1" applyFill="1" applyBorder="1">
      <alignment vertical="center"/>
    </xf>
    <xf numFmtId="0" fontId="35" fillId="0" borderId="58" xfId="3" applyFont="1" applyFill="1" applyBorder="1" applyAlignment="1">
      <alignment horizontal="left" vertical="center" wrapText="1"/>
    </xf>
    <xf numFmtId="38" fontId="0" fillId="0" borderId="49" xfId="5" applyFont="1" applyFill="1" applyBorder="1">
      <alignment vertical="center"/>
    </xf>
    <xf numFmtId="38" fontId="0" fillId="0" borderId="17" xfId="5" applyFont="1" applyFill="1" applyBorder="1">
      <alignment vertical="center"/>
    </xf>
    <xf numFmtId="178" fontId="29" fillId="0" borderId="59" xfId="4" applyNumberFormat="1" applyFont="1" applyFill="1" applyBorder="1">
      <alignment vertical="center"/>
    </xf>
    <xf numFmtId="178" fontId="29" fillId="0" borderId="60" xfId="4" applyNumberFormat="1" applyFont="1" applyFill="1" applyBorder="1">
      <alignment vertical="center"/>
    </xf>
    <xf numFmtId="0" fontId="35" fillId="0" borderId="38" xfId="3" applyFont="1" applyFill="1" applyBorder="1" applyAlignment="1">
      <alignment horizontal="left" vertical="center" wrapText="1"/>
    </xf>
    <xf numFmtId="38" fontId="0" fillId="0" borderId="61" xfId="5" applyFont="1" applyFill="1" applyBorder="1">
      <alignment vertical="center"/>
    </xf>
    <xf numFmtId="38" fontId="0" fillId="0" borderId="62" xfId="5" applyFont="1" applyFill="1" applyBorder="1">
      <alignment vertical="center"/>
    </xf>
    <xf numFmtId="38" fontId="0" fillId="0" borderId="11" xfId="5" applyFont="1" applyFill="1" applyBorder="1">
      <alignment vertical="center"/>
    </xf>
    <xf numFmtId="38" fontId="0" fillId="0" borderId="63" xfId="5" applyFont="1" applyFill="1" applyBorder="1">
      <alignment vertical="center"/>
    </xf>
    <xf numFmtId="38" fontId="0" fillId="0" borderId="64" xfId="5" applyFont="1" applyFill="1" applyBorder="1">
      <alignment vertical="center"/>
    </xf>
    <xf numFmtId="0" fontId="35" fillId="0" borderId="65" xfId="3" applyFont="1" applyFill="1" applyBorder="1" applyAlignment="1">
      <alignment horizontal="left" vertical="center" wrapText="1"/>
    </xf>
    <xf numFmtId="38" fontId="0" fillId="0" borderId="66" xfId="5" applyFont="1" applyFill="1" applyBorder="1">
      <alignment vertical="center"/>
    </xf>
    <xf numFmtId="38" fontId="0" fillId="0" borderId="67" xfId="5" applyFont="1" applyFill="1" applyBorder="1">
      <alignment vertical="center"/>
    </xf>
    <xf numFmtId="38" fontId="0" fillId="0" borderId="68" xfId="5" applyFont="1" applyFill="1" applyBorder="1">
      <alignment vertical="center"/>
    </xf>
    <xf numFmtId="178" fontId="4" fillId="0" borderId="16" xfId="4" applyNumberFormat="1" applyFont="1" applyFill="1" applyBorder="1">
      <alignment vertical="center"/>
    </xf>
    <xf numFmtId="38" fontId="0" fillId="0" borderId="69" xfId="5" applyFont="1" applyFill="1" applyBorder="1">
      <alignment vertical="center"/>
    </xf>
    <xf numFmtId="0" fontId="23" fillId="0" borderId="0" xfId="3" applyAlignment="1">
      <alignment horizontal="right" vertical="center"/>
    </xf>
    <xf numFmtId="0" fontId="23" fillId="0" borderId="70" xfId="3" applyBorder="1" applyAlignment="1">
      <alignment vertical="center"/>
    </xf>
    <xf numFmtId="0" fontId="23" fillId="0" borderId="71" xfId="3" applyBorder="1" applyAlignment="1">
      <alignment vertical="center"/>
    </xf>
    <xf numFmtId="0" fontId="17" fillId="0" borderId="0" xfId="3" applyFont="1" applyAlignment="1">
      <alignment horizontal="left" vertical="center"/>
    </xf>
    <xf numFmtId="0" fontId="23" fillId="0" borderId="72" xfId="3" applyBorder="1" applyAlignment="1">
      <alignment vertical="center"/>
    </xf>
    <xf numFmtId="0" fontId="23" fillId="0" borderId="73" xfId="3" applyBorder="1" applyAlignment="1">
      <alignment vertical="center"/>
    </xf>
    <xf numFmtId="0" fontId="21" fillId="0" borderId="0" xfId="3" applyFont="1" applyAlignment="1">
      <alignment horizontal="right" vertical="center"/>
    </xf>
    <xf numFmtId="9" fontId="0" fillId="0" borderId="0" xfId="4" applyFont="1" applyAlignment="1">
      <alignment vertical="center"/>
    </xf>
    <xf numFmtId="0" fontId="25" fillId="0" borderId="2" xfId="3" applyFont="1" applyFill="1" applyBorder="1" applyAlignment="1">
      <alignment horizontal="left" vertical="center"/>
    </xf>
    <xf numFmtId="10" fontId="25" fillId="0" borderId="2" xfId="4" applyNumberFormat="1" applyFont="1" applyFill="1" applyBorder="1" applyAlignment="1">
      <alignment horizontal="left" vertical="center"/>
    </xf>
    <xf numFmtId="178" fontId="25" fillId="0" borderId="2" xfId="4" applyNumberFormat="1" applyFont="1" applyFill="1" applyBorder="1" applyAlignment="1">
      <alignment horizontal="left" vertical="center"/>
    </xf>
    <xf numFmtId="0" fontId="28" fillId="9" borderId="0" xfId="3" applyFont="1" applyFill="1"/>
    <xf numFmtId="0" fontId="12" fillId="11" borderId="2" xfId="3" applyFont="1" applyFill="1" applyBorder="1"/>
    <xf numFmtId="0" fontId="29" fillId="9" borderId="0" xfId="3" applyFont="1" applyFill="1"/>
    <xf numFmtId="0" fontId="4" fillId="0" borderId="0" xfId="3" applyFont="1"/>
    <xf numFmtId="0" fontId="23" fillId="11" borderId="2" xfId="3" applyFill="1" applyBorder="1" applyAlignment="1">
      <alignment horizontal="center" vertical="center"/>
    </xf>
    <xf numFmtId="0" fontId="39" fillId="11" borderId="2" xfId="3" applyFont="1" applyFill="1" applyBorder="1" applyAlignment="1">
      <alignment horizontal="center" vertical="center"/>
    </xf>
    <xf numFmtId="0" fontId="40" fillId="0" borderId="2" xfId="3" applyFont="1" applyBorder="1" applyAlignment="1">
      <alignment vertical="center"/>
    </xf>
    <xf numFmtId="10" fontId="0" fillId="0" borderId="2" xfId="4" applyNumberFormat="1" applyFont="1" applyBorder="1" applyAlignment="1">
      <alignment vertical="center"/>
    </xf>
    <xf numFmtId="0" fontId="41" fillId="0" borderId="2" xfId="3" applyFont="1" applyBorder="1" applyAlignment="1">
      <alignment vertical="center"/>
    </xf>
    <xf numFmtId="0" fontId="29" fillId="0" borderId="0" xfId="3" applyFont="1"/>
    <xf numFmtId="0" fontId="42" fillId="11" borderId="2" xfId="3" applyFont="1" applyFill="1" applyBorder="1"/>
    <xf numFmtId="38" fontId="0" fillId="10" borderId="2" xfId="5" applyFont="1" applyFill="1" applyBorder="1" applyAlignment="1">
      <alignment vertical="center"/>
    </xf>
    <xf numFmtId="0" fontId="28" fillId="0" borderId="0" xfId="3" applyFont="1" applyFill="1"/>
    <xf numFmtId="0" fontId="23" fillId="0" borderId="0" xfId="3" applyFill="1"/>
    <xf numFmtId="0" fontId="43" fillId="0" borderId="0" xfId="6"/>
    <xf numFmtId="0" fontId="43" fillId="0" borderId="0" xfId="6" applyFill="1" applyBorder="1" applyAlignment="1">
      <alignment vertical="center"/>
    </xf>
    <xf numFmtId="0" fontId="40" fillId="11" borderId="2" xfId="3" applyFont="1" applyFill="1" applyBorder="1"/>
    <xf numFmtId="0" fontId="23" fillId="0" borderId="2" xfId="3" applyBorder="1" applyAlignment="1">
      <alignment vertical="center"/>
    </xf>
    <xf numFmtId="0" fontId="23" fillId="10" borderId="2" xfId="3" applyFill="1" applyBorder="1" applyAlignment="1">
      <alignment vertical="center"/>
    </xf>
    <xf numFmtId="38" fontId="0" fillId="0" borderId="2" xfId="5" applyFont="1" applyBorder="1" applyAlignment="1">
      <alignment vertical="center"/>
    </xf>
    <xf numFmtId="38" fontId="0" fillId="0" borderId="2" xfId="5" applyFont="1" applyFill="1" applyBorder="1" applyAlignment="1">
      <alignment vertical="center"/>
    </xf>
    <xf numFmtId="0" fontId="23" fillId="0" borderId="24" xfId="3" applyBorder="1" applyAlignment="1">
      <alignment vertical="center"/>
    </xf>
    <xf numFmtId="0" fontId="23" fillId="10" borderId="24" xfId="3" applyFill="1" applyBorder="1" applyAlignment="1">
      <alignment vertical="center"/>
    </xf>
    <xf numFmtId="38" fontId="0" fillId="0" borderId="24" xfId="5" applyFont="1" applyFill="1" applyBorder="1" applyAlignment="1">
      <alignment vertical="center"/>
    </xf>
    <xf numFmtId="0" fontId="23" fillId="0" borderId="57" xfId="3" applyBorder="1" applyAlignment="1">
      <alignment horizontal="center" vertical="center"/>
    </xf>
    <xf numFmtId="38" fontId="0" fillId="0" borderId="57" xfId="5" applyFont="1" applyBorder="1" applyAlignment="1">
      <alignment vertical="center"/>
    </xf>
    <xf numFmtId="0" fontId="23" fillId="0" borderId="0" xfId="3" applyBorder="1" applyAlignment="1">
      <alignment vertical="center"/>
    </xf>
    <xf numFmtId="38" fontId="23" fillId="0" borderId="2" xfId="3" applyNumberFormat="1" applyBorder="1" applyAlignment="1">
      <alignment vertical="center"/>
    </xf>
    <xf numFmtId="38" fontId="23" fillId="0" borderId="0" xfId="3" applyNumberFormat="1"/>
    <xf numFmtId="0" fontId="28" fillId="9" borderId="0" xfId="3" applyFont="1" applyFill="1" applyAlignment="1">
      <alignment vertical="center"/>
    </xf>
    <xf numFmtId="0" fontId="23" fillId="0" borderId="2" xfId="3" applyBorder="1" applyAlignment="1">
      <alignment horizontal="center" vertical="center"/>
    </xf>
    <xf numFmtId="0" fontId="40" fillId="0" borderId="2" xfId="3" applyFont="1" applyBorder="1"/>
    <xf numFmtId="38" fontId="0" fillId="10" borderId="2" xfId="5" applyFont="1" applyFill="1" applyBorder="1" applyAlignment="1"/>
    <xf numFmtId="10" fontId="0" fillId="0" borderId="2" xfId="4" applyNumberFormat="1" applyFont="1" applyFill="1" applyBorder="1" applyAlignment="1"/>
    <xf numFmtId="0" fontId="44" fillId="0" borderId="0" xfId="3" applyFont="1"/>
    <xf numFmtId="0" fontId="41" fillId="0" borderId="2" xfId="3" applyFont="1" applyBorder="1"/>
    <xf numFmtId="10" fontId="23" fillId="0" borderId="2" xfId="3" applyNumberFormat="1" applyBorder="1"/>
    <xf numFmtId="38" fontId="0" fillId="0" borderId="2" xfId="5" applyFont="1" applyBorder="1" applyAlignment="1"/>
    <xf numFmtId="0" fontId="4" fillId="11" borderId="2" xfId="3" applyFont="1" applyFill="1" applyBorder="1" applyAlignment="1">
      <alignment horizontal="center" vertical="center"/>
    </xf>
    <xf numFmtId="0" fontId="42" fillId="0" borderId="2" xfId="3" applyFont="1" applyBorder="1" applyAlignment="1">
      <alignment vertical="center"/>
    </xf>
    <xf numFmtId="9" fontId="45" fillId="0" borderId="2" xfId="3" applyNumberFormat="1" applyFont="1" applyBorder="1" applyAlignment="1">
      <alignment horizontal="center" vertical="center"/>
    </xf>
    <xf numFmtId="178" fontId="45" fillId="0" borderId="2" xfId="3" applyNumberFormat="1" applyFont="1" applyBorder="1" applyAlignment="1">
      <alignment horizontal="right" vertical="center"/>
    </xf>
    <xf numFmtId="0" fontId="46" fillId="0" borderId="2" xfId="3" applyFont="1" applyBorder="1" applyAlignment="1">
      <alignment horizontal="center" vertical="center"/>
    </xf>
    <xf numFmtId="0" fontId="44" fillId="0" borderId="0" xfId="3" applyFont="1" applyAlignment="1">
      <alignment vertical="center"/>
    </xf>
    <xf numFmtId="0" fontId="48" fillId="0" borderId="2" xfId="3" applyFont="1" applyBorder="1" applyAlignment="1">
      <alignment vertical="center"/>
    </xf>
    <xf numFmtId="0" fontId="49" fillId="0" borderId="0" xfId="3" applyFont="1" applyAlignment="1">
      <alignment vertical="center"/>
    </xf>
    <xf numFmtId="0" fontId="28" fillId="0" borderId="0" xfId="3" applyFont="1"/>
    <xf numFmtId="0" fontId="35" fillId="0" borderId="0" xfId="3" applyFont="1"/>
    <xf numFmtId="0" fontId="49" fillId="0" borderId="0" xfId="3" applyFont="1"/>
    <xf numFmtId="0" fontId="29" fillId="12" borderId="0" xfId="3" applyFont="1" applyFill="1" applyAlignment="1">
      <alignment vertical="center"/>
    </xf>
    <xf numFmtId="0" fontId="23" fillId="12" borderId="0" xfId="3" applyFill="1"/>
    <xf numFmtId="0" fontId="39" fillId="0" borderId="0" xfId="3" applyFont="1" applyFill="1" applyAlignment="1">
      <alignment horizontal="left" vertical="center"/>
    </xf>
    <xf numFmtId="0" fontId="50" fillId="0" borderId="0" xfId="3" applyFont="1"/>
    <xf numFmtId="0" fontId="39" fillId="10" borderId="0" xfId="3" applyFont="1" applyFill="1" applyAlignment="1">
      <alignment horizontal="left" vertical="center"/>
    </xf>
    <xf numFmtId="0" fontId="39" fillId="11" borderId="50" xfId="3" applyFont="1" applyFill="1" applyBorder="1" applyAlignment="1">
      <alignment horizontal="center" vertical="center"/>
    </xf>
    <xf numFmtId="0" fontId="48" fillId="0" borderId="2" xfId="3" applyFont="1" applyFill="1" applyBorder="1" applyAlignment="1">
      <alignment horizontal="left" vertical="center"/>
    </xf>
    <xf numFmtId="38" fontId="48" fillId="10" borderId="2" xfId="5" applyFont="1" applyFill="1" applyBorder="1" applyAlignment="1">
      <alignment horizontal="right" vertical="center"/>
    </xf>
    <xf numFmtId="38" fontId="48" fillId="0" borderId="2" xfId="3" applyNumberFormat="1" applyFont="1" applyFill="1" applyBorder="1" applyAlignment="1">
      <alignment horizontal="right" vertical="center"/>
    </xf>
    <xf numFmtId="0" fontId="39" fillId="0" borderId="2" xfId="3" applyFont="1" applyFill="1" applyBorder="1" applyAlignment="1">
      <alignment horizontal="left" vertical="center"/>
    </xf>
    <xf numFmtId="0" fontId="51" fillId="0" borderId="2" xfId="3" applyFont="1" applyFill="1" applyBorder="1" applyAlignment="1">
      <alignment horizontal="left" vertical="center"/>
    </xf>
    <xf numFmtId="0" fontId="39" fillId="10" borderId="45" xfId="3" applyFont="1" applyFill="1" applyBorder="1" applyAlignment="1">
      <alignment horizontal="right" vertical="center"/>
    </xf>
    <xf numFmtId="0" fontId="39" fillId="10" borderId="2" xfId="3" applyFont="1" applyFill="1" applyBorder="1" applyAlignment="1">
      <alignment horizontal="right" vertical="center"/>
    </xf>
    <xf numFmtId="178" fontId="39" fillId="0" borderId="2" xfId="4" applyNumberFormat="1" applyFont="1" applyFill="1" applyBorder="1" applyAlignment="1">
      <alignment horizontal="right" vertical="center"/>
    </xf>
    <xf numFmtId="0" fontId="48" fillId="0" borderId="0" xfId="3" applyFont="1"/>
    <xf numFmtId="0" fontId="52" fillId="0" borderId="2" xfId="3" applyFont="1" applyBorder="1" applyAlignment="1">
      <alignment horizontal="left" vertical="center"/>
    </xf>
    <xf numFmtId="38" fontId="39" fillId="0" borderId="45" xfId="3" applyNumberFormat="1" applyFont="1" applyFill="1" applyBorder="1" applyAlignment="1">
      <alignment horizontal="right" vertical="center"/>
    </xf>
    <xf numFmtId="38" fontId="39" fillId="0" borderId="2" xfId="3" applyNumberFormat="1" applyFont="1" applyFill="1" applyBorder="1" applyAlignment="1">
      <alignment horizontal="right" vertical="center"/>
    </xf>
    <xf numFmtId="38" fontId="39" fillId="0" borderId="45" xfId="5" applyFont="1" applyFill="1" applyBorder="1" applyAlignment="1">
      <alignment horizontal="right" vertical="center"/>
    </xf>
    <xf numFmtId="38" fontId="39" fillId="0" borderId="2" xfId="5" applyFont="1" applyFill="1" applyBorder="1" applyAlignment="1">
      <alignment horizontal="right" vertical="center"/>
    </xf>
    <xf numFmtId="178" fontId="39" fillId="0" borderId="45" xfId="4" applyNumberFormat="1" applyFont="1" applyFill="1" applyBorder="1" applyAlignment="1">
      <alignment horizontal="right" vertical="center"/>
    </xf>
    <xf numFmtId="40" fontId="39" fillId="0" borderId="45" xfId="5" applyNumberFormat="1" applyFont="1" applyFill="1" applyBorder="1" applyAlignment="1">
      <alignment horizontal="right" vertical="center"/>
    </xf>
    <xf numFmtId="40" fontId="39" fillId="0" borderId="2" xfId="5" applyNumberFormat="1" applyFont="1" applyFill="1" applyBorder="1" applyAlignment="1">
      <alignment horizontal="right" vertical="center"/>
    </xf>
    <xf numFmtId="38" fontId="48" fillId="0" borderId="45" xfId="5" applyFont="1" applyFill="1" applyBorder="1" applyAlignment="1">
      <alignment horizontal="right" vertical="center"/>
    </xf>
    <xf numFmtId="0" fontId="48" fillId="0" borderId="0" xfId="3" applyFont="1" applyFill="1" applyAlignment="1">
      <alignment horizontal="left" vertical="center"/>
    </xf>
    <xf numFmtId="0" fontId="24" fillId="0" borderId="0" xfId="3" applyFont="1" applyFill="1" applyAlignment="1">
      <alignment horizontal="right" vertical="center"/>
    </xf>
    <xf numFmtId="0" fontId="39" fillId="0" borderId="0" xfId="3" applyFont="1"/>
    <xf numFmtId="0" fontId="23" fillId="0" borderId="0" xfId="3" applyAlignment="1">
      <alignment horizontal="right"/>
    </xf>
    <xf numFmtId="0" fontId="39" fillId="11" borderId="2" xfId="3" applyFont="1" applyFill="1" applyBorder="1" applyAlignment="1">
      <alignment horizontal="left" vertical="center"/>
    </xf>
    <xf numFmtId="0" fontId="39" fillId="0" borderId="0" xfId="3" applyFont="1" applyFill="1" applyAlignment="1">
      <alignment horizontal="right" vertical="center"/>
    </xf>
    <xf numFmtId="0" fontId="39" fillId="0" borderId="0" xfId="3" applyFont="1" applyAlignment="1">
      <alignment horizontal="right"/>
    </xf>
    <xf numFmtId="178" fontId="39" fillId="0" borderId="2" xfId="3" applyNumberFormat="1" applyFont="1" applyFill="1" applyBorder="1" applyAlignment="1">
      <alignment horizontal="right" vertical="center"/>
    </xf>
    <xf numFmtId="0" fontId="53" fillId="0" borderId="2" xfId="3" applyFont="1" applyBorder="1" applyAlignment="1">
      <alignment vertical="center"/>
    </xf>
    <xf numFmtId="179" fontId="54" fillId="0" borderId="2" xfId="5" applyNumberFormat="1" applyFont="1" applyBorder="1" applyAlignment="1">
      <alignment horizontal="right" vertical="center"/>
    </xf>
    <xf numFmtId="178" fontId="54" fillId="0" borderId="2" xfId="4" applyNumberFormat="1" applyFont="1" applyBorder="1" applyAlignment="1">
      <alignment horizontal="right" vertical="center"/>
    </xf>
    <xf numFmtId="180" fontId="54" fillId="0" borderId="2" xfId="5" applyNumberFormat="1" applyFont="1" applyBorder="1" applyAlignment="1">
      <alignment horizontal="right" vertical="center"/>
    </xf>
    <xf numFmtId="0" fontId="1" fillId="0" borderId="0" xfId="7">
      <alignment vertical="center"/>
    </xf>
    <xf numFmtId="0" fontId="32" fillId="0" borderId="0" xfId="7" applyFont="1">
      <alignment vertical="center"/>
    </xf>
    <xf numFmtId="0" fontId="4" fillId="0" borderId="0" xfId="7" applyFont="1">
      <alignment vertical="center"/>
    </xf>
    <xf numFmtId="0" fontId="35" fillId="0" borderId="0" xfId="7" applyFont="1">
      <alignment vertical="center"/>
    </xf>
    <xf numFmtId="38" fontId="1" fillId="10" borderId="2" xfId="5" applyFont="1" applyFill="1" applyBorder="1">
      <alignment vertical="center"/>
    </xf>
    <xf numFmtId="0" fontId="1" fillId="0" borderId="0" xfId="7" applyFont="1">
      <alignment vertical="center"/>
    </xf>
    <xf numFmtId="178" fontId="1" fillId="0" borderId="2" xfId="4" applyNumberFormat="1" applyFont="1" applyBorder="1">
      <alignment vertical="center"/>
    </xf>
    <xf numFmtId="9" fontId="1" fillId="0" borderId="2" xfId="7" applyNumberFormat="1" applyBorder="1">
      <alignment vertical="center"/>
    </xf>
    <xf numFmtId="10" fontId="1" fillId="0" borderId="24" xfId="7" applyNumberFormat="1" applyBorder="1">
      <alignment vertical="center"/>
    </xf>
    <xf numFmtId="10" fontId="45" fillId="0" borderId="57" xfId="7" applyNumberFormat="1" applyFont="1" applyFill="1" applyBorder="1">
      <alignment vertical="center"/>
    </xf>
    <xf numFmtId="0" fontId="57" fillId="0" borderId="0" xfId="7" applyFont="1">
      <alignment vertical="center"/>
    </xf>
    <xf numFmtId="0" fontId="1" fillId="11" borderId="75" xfId="7" applyFill="1" applyBorder="1">
      <alignment vertical="center"/>
    </xf>
    <xf numFmtId="0" fontId="1" fillId="11" borderId="2" xfId="7" applyFill="1" applyBorder="1">
      <alignment vertical="center"/>
    </xf>
    <xf numFmtId="0" fontId="1" fillId="11" borderId="50" xfId="7" applyFill="1" applyBorder="1">
      <alignment vertical="center"/>
    </xf>
    <xf numFmtId="0" fontId="1" fillId="0" borderId="2" xfId="7" applyBorder="1">
      <alignment vertical="center"/>
    </xf>
    <xf numFmtId="38" fontId="0" fillId="0" borderId="2" xfId="8" applyFont="1" applyFill="1" applyBorder="1">
      <alignment vertical="center"/>
    </xf>
    <xf numFmtId="38" fontId="0" fillId="0" borderId="2" xfId="8" applyFont="1" applyBorder="1">
      <alignment vertical="center"/>
    </xf>
    <xf numFmtId="38" fontId="0" fillId="0" borderId="0" xfId="8" applyFont="1" applyFill="1" applyBorder="1">
      <alignment vertical="center"/>
    </xf>
    <xf numFmtId="0" fontId="1" fillId="0" borderId="2" xfId="7" applyFont="1" applyBorder="1">
      <alignment vertical="center"/>
    </xf>
    <xf numFmtId="38" fontId="1" fillId="0" borderId="2" xfId="5" applyFont="1" applyBorder="1">
      <alignment vertical="center"/>
    </xf>
    <xf numFmtId="0" fontId="1" fillId="0" borderId="2" xfId="7" applyBorder="1" applyAlignment="1">
      <alignment horizontal="right" vertical="center"/>
    </xf>
    <xf numFmtId="38" fontId="1" fillId="0" borderId="2" xfId="7" applyNumberFormat="1" applyBorder="1">
      <alignment vertical="center"/>
    </xf>
    <xf numFmtId="181" fontId="1" fillId="0" borderId="2" xfId="7" applyNumberFormat="1" applyFill="1" applyBorder="1">
      <alignment vertical="center"/>
    </xf>
    <xf numFmtId="38" fontId="1" fillId="0" borderId="2" xfId="7" applyNumberFormat="1" applyFill="1" applyBorder="1">
      <alignment vertical="center"/>
    </xf>
    <xf numFmtId="38" fontId="1" fillId="0" borderId="2" xfId="5" applyFont="1" applyFill="1" applyBorder="1">
      <alignment vertical="center"/>
    </xf>
    <xf numFmtId="38" fontId="58" fillId="0" borderId="2" xfId="8" applyFont="1" applyBorder="1">
      <alignment vertical="center"/>
    </xf>
    <xf numFmtId="0" fontId="59" fillId="0" borderId="0" xfId="7" applyFont="1" applyAlignment="1">
      <alignment horizontal="right" vertical="center"/>
    </xf>
    <xf numFmtId="0" fontId="23" fillId="0" borderId="80" xfId="3" applyBorder="1" applyAlignment="1">
      <alignment vertical="center"/>
    </xf>
    <xf numFmtId="38" fontId="0" fillId="0" borderId="80" xfId="5" applyFont="1" applyFill="1" applyBorder="1" applyAlignment="1">
      <alignment vertical="center"/>
    </xf>
    <xf numFmtId="38" fontId="0" fillId="0" borderId="50" xfId="5" applyFont="1" applyBorder="1" applyAlignment="1">
      <alignment vertical="center"/>
    </xf>
    <xf numFmtId="38" fontId="0" fillId="0" borderId="50" xfId="5" applyFont="1" applyFill="1" applyBorder="1" applyAlignment="1">
      <alignment vertical="center"/>
    </xf>
    <xf numFmtId="0" fontId="12" fillId="0" borderId="28" xfId="3" applyFont="1" applyFill="1" applyBorder="1" applyAlignment="1">
      <alignment horizontal="center" vertical="center" wrapText="1"/>
    </xf>
    <xf numFmtId="38" fontId="0" fillId="0" borderId="32" xfId="5" applyFont="1" applyFill="1" applyBorder="1">
      <alignment vertical="center"/>
    </xf>
    <xf numFmtId="38" fontId="0" fillId="0" borderId="39" xfId="5" applyFont="1" applyFill="1" applyBorder="1">
      <alignment vertical="center"/>
    </xf>
    <xf numFmtId="178" fontId="0" fillId="0" borderId="33" xfId="4" applyNumberFormat="1" applyFont="1" applyFill="1" applyBorder="1">
      <alignment vertical="center"/>
    </xf>
    <xf numFmtId="38" fontId="0" fillId="0" borderId="43" xfId="5" applyFont="1" applyFill="1" applyBorder="1">
      <alignment vertical="center"/>
    </xf>
    <xf numFmtId="38" fontId="0" fillId="0" borderId="44" xfId="5" applyFont="1" applyFill="1" applyBorder="1">
      <alignment vertical="center"/>
    </xf>
    <xf numFmtId="38" fontId="0" fillId="0" borderId="48" xfId="5" applyFont="1" applyFill="1" applyBorder="1">
      <alignment vertical="center"/>
    </xf>
    <xf numFmtId="10" fontId="38" fillId="0" borderId="2" xfId="4" applyNumberFormat="1" applyFont="1" applyFill="1" applyBorder="1" applyAlignment="1">
      <alignment vertical="center"/>
    </xf>
    <xf numFmtId="0" fontId="23" fillId="0" borderId="0" xfId="3" applyFill="1" applyBorder="1" applyAlignment="1">
      <alignment vertical="center"/>
    </xf>
    <xf numFmtId="38" fontId="23" fillId="0" borderId="0" xfId="1" applyFont="1" applyAlignment="1"/>
    <xf numFmtId="0" fontId="62" fillId="0" borderId="0" xfId="0" applyFont="1" applyAlignment="1">
      <alignment horizontal="left" vertical="center"/>
    </xf>
    <xf numFmtId="0" fontId="63" fillId="0" borderId="0" xfId="0" applyFont="1">
      <alignment vertical="center"/>
    </xf>
    <xf numFmtId="0" fontId="63" fillId="0" borderId="0" xfId="0" applyFont="1" applyAlignment="1">
      <alignment horizontal="center" vertical="center"/>
    </xf>
    <xf numFmtId="0" fontId="64" fillId="0" borderId="0" xfId="0" applyFont="1" applyAlignment="1">
      <alignment horizontal="left" vertical="center"/>
    </xf>
    <xf numFmtId="0" fontId="53" fillId="0" borderId="2" xfId="3" applyFont="1" applyBorder="1" applyAlignment="1">
      <alignment vertical="center" wrapText="1"/>
    </xf>
    <xf numFmtId="0" fontId="1" fillId="0" borderId="0" xfId="7" applyFont="1" applyAlignment="1">
      <alignment horizontal="right" vertical="center"/>
    </xf>
    <xf numFmtId="10" fontId="59" fillId="10" borderId="2" xfId="4" applyNumberFormat="1" applyFont="1" applyFill="1" applyBorder="1">
      <alignment vertical="center"/>
    </xf>
    <xf numFmtId="10" fontId="59" fillId="10" borderId="2" xfId="7" applyNumberFormat="1" applyFont="1" applyFill="1" applyBorder="1">
      <alignment vertical="center"/>
    </xf>
    <xf numFmtId="0" fontId="58" fillId="0" borderId="10" xfId="7" applyFont="1" applyBorder="1" applyAlignment="1">
      <alignment horizontal="center" vertical="center"/>
    </xf>
    <xf numFmtId="0" fontId="65" fillId="0" borderId="10" xfId="3" applyFont="1" applyBorder="1" applyAlignment="1">
      <alignment vertical="center"/>
    </xf>
    <xf numFmtId="0" fontId="29" fillId="0" borderId="0" xfId="0" applyFont="1">
      <alignment vertical="center"/>
    </xf>
    <xf numFmtId="0" fontId="0" fillId="0" borderId="0" xfId="7" applyFont="1">
      <alignment vertical="center"/>
    </xf>
    <xf numFmtId="0" fontId="35" fillId="0" borderId="0" xfId="7" applyFont="1" applyAlignment="1">
      <alignment horizontal="right" vertical="center"/>
    </xf>
    <xf numFmtId="0" fontId="66" fillId="7" borderId="0" xfId="0" applyFont="1" applyFill="1">
      <alignment vertical="center"/>
    </xf>
    <xf numFmtId="178" fontId="67" fillId="0" borderId="2" xfId="3" applyNumberFormat="1" applyFont="1" applyBorder="1" applyAlignment="1">
      <alignment horizontal="right" vertical="center"/>
    </xf>
    <xf numFmtId="0" fontId="66" fillId="7" borderId="0" xfId="0" applyFont="1" applyFill="1" applyBorder="1" applyAlignment="1">
      <alignment horizontal="center" vertical="center"/>
    </xf>
    <xf numFmtId="0" fontId="68" fillId="0" borderId="2" xfId="3" applyFont="1" applyBorder="1" applyAlignment="1">
      <alignment vertical="center"/>
    </xf>
    <xf numFmtId="182" fontId="3" fillId="2" borderId="2" xfId="0" applyNumberFormat="1" applyFont="1" applyFill="1" applyBorder="1">
      <alignment vertical="center"/>
    </xf>
    <xf numFmtId="0" fontId="1" fillId="0" borderId="0" xfId="7" applyAlignment="1">
      <alignment vertical="center" wrapText="1"/>
    </xf>
    <xf numFmtId="9" fontId="69" fillId="7" borderId="0" xfId="0" applyNumberFormat="1" applyFont="1" applyFill="1" applyAlignment="1">
      <alignment horizontal="left" vertical="center"/>
    </xf>
    <xf numFmtId="9" fontId="69" fillId="7" borderId="0" xfId="0" applyNumberFormat="1" applyFont="1" applyFill="1" applyBorder="1">
      <alignment vertical="center"/>
    </xf>
    <xf numFmtId="0" fontId="67" fillId="0" borderId="2" xfId="3" applyFont="1" applyFill="1" applyBorder="1" applyAlignment="1">
      <alignment horizontal="center" vertical="center"/>
    </xf>
    <xf numFmtId="0" fontId="4" fillId="7" borderId="0" xfId="0" applyFont="1" applyFill="1" applyBorder="1" applyAlignment="1">
      <alignment horizontal="right" vertical="center"/>
    </xf>
    <xf numFmtId="0" fontId="4" fillId="11" borderId="2" xfId="3" applyFont="1" applyFill="1" applyBorder="1" applyAlignment="1">
      <alignment horizontal="center" vertical="center"/>
    </xf>
    <xf numFmtId="0" fontId="4" fillId="7" borderId="22" xfId="0" applyFont="1" applyFill="1" applyBorder="1">
      <alignment vertical="center"/>
    </xf>
    <xf numFmtId="183" fontId="3" fillId="2" borderId="2" xfId="0" applyNumberFormat="1" applyFont="1" applyFill="1" applyBorder="1" applyAlignment="1">
      <alignment horizontal="right" vertical="center"/>
    </xf>
    <xf numFmtId="184" fontId="3" fillId="2" borderId="2" xfId="0" applyNumberFormat="1" applyFont="1" applyFill="1" applyBorder="1" applyAlignment="1">
      <alignment horizontal="right" vertical="center"/>
    </xf>
    <xf numFmtId="0" fontId="70" fillId="0" borderId="0" xfId="0" applyFont="1">
      <alignment vertical="center"/>
    </xf>
    <xf numFmtId="0" fontId="71" fillId="0" borderId="0" xfId="3" applyFont="1" applyAlignment="1">
      <alignment horizontal="left" vertical="center"/>
    </xf>
    <xf numFmtId="0" fontId="72" fillId="13" borderId="2" xfId="3" applyFont="1" applyFill="1" applyBorder="1" applyAlignment="1">
      <alignment horizontal="center" vertical="center"/>
    </xf>
    <xf numFmtId="10" fontId="23" fillId="0" borderId="2" xfId="3" applyNumberFormat="1" applyFill="1" applyBorder="1" applyAlignment="1">
      <alignment vertical="center"/>
    </xf>
    <xf numFmtId="178" fontId="37" fillId="0" borderId="2" xfId="3" applyNumberFormat="1" applyFont="1" applyFill="1" applyBorder="1" applyAlignment="1">
      <alignment horizontal="right" vertical="center"/>
    </xf>
    <xf numFmtId="0" fontId="3" fillId="10" borderId="2" xfId="0" applyFont="1" applyFill="1" applyBorder="1">
      <alignment vertical="center"/>
    </xf>
    <xf numFmtId="0" fontId="3" fillId="10" borderId="2" xfId="0" applyFont="1" applyFill="1" applyBorder="1" applyAlignment="1">
      <alignment horizontal="center" vertical="center"/>
    </xf>
    <xf numFmtId="0" fontId="73" fillId="0" borderId="0" xfId="0" applyFont="1" applyBorder="1">
      <alignment vertical="center"/>
    </xf>
    <xf numFmtId="0" fontId="0" fillId="2" borderId="0" xfId="0" applyFill="1">
      <alignment vertical="center"/>
    </xf>
    <xf numFmtId="185" fontId="0" fillId="0" borderId="0" xfId="0" applyNumberFormat="1" applyAlignment="1">
      <alignment horizontal="center" vertical="center"/>
    </xf>
    <xf numFmtId="185" fontId="17" fillId="0" borderId="0" xfId="0" applyNumberFormat="1" applyFont="1" applyAlignment="1">
      <alignment horizontal="center" vertical="center"/>
    </xf>
    <xf numFmtId="182" fontId="7" fillId="0" borderId="10" xfId="0" applyNumberFormat="1" applyFont="1" applyBorder="1" applyAlignment="1">
      <alignment horizontal="center" vertical="center"/>
    </xf>
    <xf numFmtId="182" fontId="3" fillId="4" borderId="4" xfId="0" applyNumberFormat="1" applyFont="1" applyFill="1" applyBorder="1">
      <alignment vertical="center"/>
    </xf>
    <xf numFmtId="182" fontId="3" fillId="4" borderId="17" xfId="0" applyNumberFormat="1" applyFont="1" applyFill="1" applyBorder="1">
      <alignment vertical="center"/>
    </xf>
    <xf numFmtId="182" fontId="3" fillId="0" borderId="0" xfId="0" applyNumberFormat="1" applyFont="1">
      <alignment vertical="center"/>
    </xf>
    <xf numFmtId="182" fontId="6" fillId="0" borderId="15" xfId="0" applyNumberFormat="1" applyFont="1" applyBorder="1">
      <alignment vertical="center"/>
    </xf>
    <xf numFmtId="182" fontId="6" fillId="0" borderId="18" xfId="0" applyNumberFormat="1" applyFont="1" applyBorder="1">
      <alignment vertical="center"/>
    </xf>
    <xf numFmtId="186" fontId="7" fillId="0" borderId="10" xfId="0" applyNumberFormat="1" applyFont="1" applyBorder="1" applyAlignment="1">
      <alignment horizontal="center" vertical="center"/>
    </xf>
    <xf numFmtId="186" fontId="7" fillId="0" borderId="0" xfId="0" applyNumberFormat="1" applyFont="1" applyAlignment="1">
      <alignment horizontal="center" vertical="center"/>
    </xf>
    <xf numFmtId="1" fontId="7" fillId="0" borderId="10" xfId="0" applyNumberFormat="1" applyFont="1" applyBorder="1" applyAlignment="1">
      <alignment horizontal="center" vertical="center"/>
    </xf>
    <xf numFmtId="182" fontId="7" fillId="0" borderId="0" xfId="0" applyNumberFormat="1" applyFont="1" applyAlignment="1">
      <alignment horizontal="center" vertical="center"/>
    </xf>
    <xf numFmtId="38" fontId="3" fillId="0" borderId="2" xfId="1" applyNumberFormat="1" applyFont="1" applyBorder="1">
      <alignment vertical="center"/>
    </xf>
    <xf numFmtId="187" fontId="3" fillId="0" borderId="1" xfId="1" applyNumberFormat="1" applyFont="1" applyBorder="1">
      <alignment vertical="center"/>
    </xf>
    <xf numFmtId="187" fontId="3" fillId="0" borderId="0" xfId="0" applyNumberFormat="1" applyFont="1">
      <alignment vertical="center"/>
    </xf>
    <xf numFmtId="4" fontId="0" fillId="0" borderId="0" xfId="0" applyNumberFormat="1">
      <alignment vertical="center"/>
    </xf>
    <xf numFmtId="0" fontId="75" fillId="0" borderId="2" xfId="0" applyFont="1" applyBorder="1" applyAlignment="1">
      <alignment horizontal="center" vertical="center"/>
    </xf>
    <xf numFmtId="0" fontId="75" fillId="0" borderId="2" xfId="0" applyFont="1" applyBorder="1" applyAlignment="1">
      <alignment horizontal="center" vertical="center" wrapText="1"/>
    </xf>
    <xf numFmtId="0" fontId="0" fillId="0" borderId="2" xfId="0" applyBorder="1" applyAlignment="1">
      <alignment horizontal="right" vertical="center"/>
    </xf>
    <xf numFmtId="10" fontId="0" fillId="0" borderId="2" xfId="0" applyNumberFormat="1" applyBorder="1" applyAlignment="1">
      <alignment horizontal="right" vertical="center"/>
    </xf>
    <xf numFmtId="0" fontId="76" fillId="0" borderId="2" xfId="0" applyFont="1" applyBorder="1" applyAlignment="1">
      <alignment horizontal="right" vertical="center"/>
    </xf>
    <xf numFmtId="0" fontId="75" fillId="0" borderId="2" xfId="0" applyFont="1" applyBorder="1">
      <alignment vertical="center"/>
    </xf>
    <xf numFmtId="3" fontId="0" fillId="0" borderId="2" xfId="0" applyNumberFormat="1" applyBorder="1" applyAlignment="1">
      <alignment horizontal="right" vertical="center"/>
    </xf>
    <xf numFmtId="10" fontId="0" fillId="0" borderId="2" xfId="0" applyNumberFormat="1" applyBorder="1">
      <alignment vertical="center"/>
    </xf>
    <xf numFmtId="0" fontId="75" fillId="0" borderId="2" xfId="0" applyFont="1" applyBorder="1" applyAlignment="1">
      <alignment horizontal="right" vertical="center"/>
    </xf>
    <xf numFmtId="10" fontId="75" fillId="0" borderId="2" xfId="0" applyNumberFormat="1" applyFont="1" applyBorder="1" applyAlignment="1">
      <alignment horizontal="right" vertical="center"/>
    </xf>
    <xf numFmtId="0" fontId="77" fillId="0" borderId="2" xfId="0" applyFont="1" applyBorder="1" applyAlignment="1">
      <alignment horizontal="right" vertical="center"/>
    </xf>
    <xf numFmtId="10" fontId="77" fillId="0" borderId="2" xfId="0" applyNumberFormat="1" applyFont="1" applyBorder="1" applyAlignment="1">
      <alignment horizontal="right" vertical="center"/>
    </xf>
    <xf numFmtId="0" fontId="48" fillId="0" borderId="0" xfId="3" applyFont="1" applyFill="1" applyAlignment="1">
      <alignment horizontal="right" vertical="center"/>
    </xf>
    <xf numFmtId="38" fontId="59" fillId="10" borderId="2" xfId="1" applyFont="1" applyFill="1" applyBorder="1">
      <alignment vertical="center"/>
    </xf>
    <xf numFmtId="0" fontId="52" fillId="0" borderId="2" xfId="3" applyFont="1" applyBorder="1" applyAlignment="1">
      <alignment horizontal="left" vertical="center" shrinkToFit="1"/>
    </xf>
    <xf numFmtId="178" fontId="79" fillId="0" borderId="2" xfId="3" applyNumberFormat="1" applyFont="1" applyFill="1" applyBorder="1" applyAlignment="1">
      <alignment horizontal="right" vertical="center"/>
    </xf>
    <xf numFmtId="178" fontId="25" fillId="0" borderId="2" xfId="3" applyNumberFormat="1" applyFont="1" applyFill="1" applyBorder="1" applyAlignment="1">
      <alignment horizontal="right" vertical="center"/>
    </xf>
    <xf numFmtId="0" fontId="56" fillId="11" borderId="50" xfId="7" applyFont="1" applyFill="1" applyBorder="1">
      <alignment vertical="center"/>
    </xf>
    <xf numFmtId="38" fontId="56" fillId="0" borderId="2" xfId="8" applyFont="1" applyFill="1" applyBorder="1">
      <alignment vertical="center"/>
    </xf>
    <xf numFmtId="38" fontId="56" fillId="0" borderId="2" xfId="5" applyFont="1" applyBorder="1">
      <alignment vertical="center"/>
    </xf>
    <xf numFmtId="38" fontId="56" fillId="0" borderId="2" xfId="7" applyNumberFormat="1" applyFont="1" applyBorder="1">
      <alignment vertical="center"/>
    </xf>
    <xf numFmtId="181" fontId="56" fillId="0" borderId="2" xfId="7" applyNumberFormat="1" applyFont="1" applyFill="1" applyBorder="1">
      <alignment vertical="center"/>
    </xf>
    <xf numFmtId="38" fontId="56" fillId="0" borderId="2" xfId="7" applyNumberFormat="1" applyFont="1" applyFill="1" applyBorder="1">
      <alignment vertical="center"/>
    </xf>
    <xf numFmtId="38" fontId="56" fillId="0" borderId="2" xfId="5" applyFont="1" applyFill="1" applyBorder="1">
      <alignment vertical="center"/>
    </xf>
    <xf numFmtId="38" fontId="78" fillId="0" borderId="2" xfId="8" applyFont="1" applyBorder="1">
      <alignment vertical="center"/>
    </xf>
    <xf numFmtId="38" fontId="56" fillId="0" borderId="2" xfId="8" applyFont="1" applyBorder="1">
      <alignment vertical="center"/>
    </xf>
    <xf numFmtId="0" fontId="56" fillId="0" borderId="0" xfId="7" applyFont="1">
      <alignment vertical="center"/>
    </xf>
    <xf numFmtId="0" fontId="56" fillId="0" borderId="2" xfId="7" applyFont="1" applyBorder="1" applyAlignment="1">
      <alignment vertical="center" shrinkToFit="1"/>
    </xf>
    <xf numFmtId="0" fontId="56" fillId="0" borderId="2" xfId="7" applyFont="1" applyBorder="1" applyAlignment="1">
      <alignment horizontal="right" vertical="center" shrinkToFit="1"/>
    </xf>
    <xf numFmtId="0" fontId="39" fillId="11" borderId="2" xfId="3" applyFont="1" applyFill="1" applyBorder="1" applyAlignment="1">
      <alignment horizontal="left" vertical="center" shrinkToFit="1"/>
    </xf>
    <xf numFmtId="0" fontId="39" fillId="0" borderId="2" xfId="3" applyFont="1" applyFill="1" applyBorder="1" applyAlignment="1">
      <alignment horizontal="left" vertical="center" shrinkToFit="1"/>
    </xf>
    <xf numFmtId="0" fontId="59" fillId="0" borderId="2" xfId="0" applyFont="1" applyBorder="1" applyAlignment="1">
      <alignment horizontal="center" vertical="center"/>
    </xf>
    <xf numFmtId="0" fontId="56" fillId="11" borderId="2" xfId="7" applyFont="1" applyFill="1" applyBorder="1">
      <alignment vertical="center"/>
    </xf>
    <xf numFmtId="0" fontId="56" fillId="11" borderId="75" xfId="7" applyFont="1" applyFill="1" applyBorder="1" applyAlignment="1">
      <alignment vertical="center" shrinkToFit="1"/>
    </xf>
    <xf numFmtId="38" fontId="39" fillId="0" borderId="2" xfId="3" applyNumberFormat="1" applyFont="1" applyFill="1" applyBorder="1" applyAlignment="1">
      <alignment horizontal="right" vertical="center"/>
    </xf>
    <xf numFmtId="0" fontId="39" fillId="11" borderId="2" xfId="3" applyFont="1" applyFill="1" applyBorder="1" applyAlignment="1">
      <alignment horizontal="center" vertical="center"/>
    </xf>
    <xf numFmtId="0" fontId="35" fillId="0" borderId="0" xfId="7" applyFont="1" applyAlignment="1">
      <alignment horizontal="right" vertical="center"/>
    </xf>
    <xf numFmtId="0" fontId="35" fillId="0" borderId="82" xfId="7" applyFont="1" applyBorder="1" applyAlignment="1">
      <alignment horizontal="righ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7" fillId="0" borderId="58" xfId="3" applyFont="1" applyBorder="1" applyAlignment="1">
      <alignment horizontal="center" vertical="center"/>
    </xf>
    <xf numFmtId="0" fontId="7" fillId="0" borderId="82" xfId="3" applyFont="1" applyBorder="1" applyAlignment="1">
      <alignment horizontal="center" vertical="center"/>
    </xf>
    <xf numFmtId="0" fontId="46" fillId="0" borderId="2" xfId="3" applyFont="1" applyFill="1" applyBorder="1" applyAlignment="1">
      <alignment horizontal="center" vertical="center"/>
    </xf>
    <xf numFmtId="0" fontId="4" fillId="11" borderId="2" xfId="3" applyFont="1" applyFill="1" applyBorder="1" applyAlignment="1">
      <alignment horizontal="center" vertical="center"/>
    </xf>
    <xf numFmtId="0" fontId="0" fillId="0" borderId="13" xfId="0" applyBorder="1" applyAlignment="1">
      <alignment horizontal="center" vertical="center" wrapText="1"/>
    </xf>
    <xf numFmtId="0" fontId="0" fillId="0" borderId="8" xfId="0"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78" fontId="0" fillId="2" borderId="0" xfId="0" applyNumberFormat="1" applyFill="1" applyAlignment="1">
      <alignment horizontal="center" vertical="center"/>
    </xf>
    <xf numFmtId="9" fontId="0" fillId="0" borderId="0" xfId="0" applyNumberFormat="1" applyAlignment="1">
      <alignment horizontal="center" vertical="center" wrapText="1"/>
    </xf>
    <xf numFmtId="0" fontId="11" fillId="0" borderId="0" xfId="0" applyFont="1" applyAlignment="1">
      <alignment horizontal="left" vertical="center"/>
    </xf>
    <xf numFmtId="0" fontId="0" fillId="0" borderId="2" xfId="0" applyBorder="1" applyAlignment="1">
      <alignment horizontal="center"/>
    </xf>
    <xf numFmtId="9" fontId="0" fillId="0" borderId="0" xfId="0" applyNumberFormat="1" applyAlignment="1">
      <alignment horizontal="center" vertical="center"/>
    </xf>
    <xf numFmtId="178" fontId="18" fillId="2" borderId="0" xfId="0" applyNumberFormat="1" applyFont="1" applyFill="1" applyAlignment="1">
      <alignment horizontal="center" vertical="center"/>
    </xf>
    <xf numFmtId="0" fontId="9" fillId="0" borderId="0" xfId="0" applyFont="1" applyAlignment="1">
      <alignment horizontal="right" vertical="center"/>
    </xf>
    <xf numFmtId="0" fontId="0" fillId="0" borderId="47" xfId="7" applyFont="1" applyBorder="1" applyAlignment="1">
      <alignment horizontal="left" vertical="top" wrapText="1"/>
    </xf>
    <xf numFmtId="0" fontId="1" fillId="0" borderId="81" xfId="7" applyBorder="1" applyAlignment="1">
      <alignment horizontal="left" vertical="top" wrapText="1"/>
    </xf>
    <xf numFmtId="0" fontId="1" fillId="0" borderId="49" xfId="7" applyBorder="1" applyAlignment="1">
      <alignment horizontal="left" vertical="top" wrapText="1"/>
    </xf>
    <xf numFmtId="0" fontId="1" fillId="0" borderId="58" xfId="7" applyBorder="1" applyAlignment="1">
      <alignment horizontal="left" vertical="top" wrapText="1"/>
    </xf>
    <xf numFmtId="0" fontId="1" fillId="0" borderId="0" xfId="7" applyBorder="1" applyAlignment="1">
      <alignment horizontal="left" vertical="top" wrapText="1"/>
    </xf>
    <xf numFmtId="0" fontId="1" fillId="0" borderId="82" xfId="7" applyBorder="1" applyAlignment="1">
      <alignment horizontal="left" vertical="top" wrapText="1"/>
    </xf>
    <xf numFmtId="0" fontId="1" fillId="0" borderId="31" xfId="7" applyBorder="1" applyAlignment="1">
      <alignment horizontal="left" vertical="top" wrapText="1"/>
    </xf>
    <xf numFmtId="0" fontId="1" fillId="0" borderId="1" xfId="7" applyBorder="1" applyAlignment="1">
      <alignment horizontal="left" vertical="top" wrapText="1"/>
    </xf>
    <xf numFmtId="0" fontId="1" fillId="0" borderId="33" xfId="7" applyBorder="1" applyAlignment="1">
      <alignment horizontal="left" vertical="top" wrapText="1"/>
    </xf>
    <xf numFmtId="0" fontId="1" fillId="0" borderId="76" xfId="7" applyFill="1" applyBorder="1" applyAlignment="1">
      <alignment horizontal="center" vertical="center"/>
    </xf>
    <xf numFmtId="0" fontId="1" fillId="0" borderId="77" xfId="7" applyFill="1" applyBorder="1" applyAlignment="1">
      <alignment horizontal="center" vertical="center"/>
    </xf>
    <xf numFmtId="0" fontId="1" fillId="0" borderId="78" xfId="7" applyFill="1" applyBorder="1" applyAlignment="1">
      <alignment horizontal="center" vertical="center"/>
    </xf>
    <xf numFmtId="38" fontId="39" fillId="0" borderId="2" xfId="3" applyNumberFormat="1" applyFont="1" applyFill="1" applyBorder="1" applyAlignment="1">
      <alignment horizontal="right" vertical="center"/>
    </xf>
    <xf numFmtId="0" fontId="39" fillId="11" borderId="2" xfId="3" applyFont="1" applyFill="1" applyBorder="1" applyAlignment="1">
      <alignment horizontal="center" vertical="center"/>
    </xf>
    <xf numFmtId="178" fontId="37" fillId="0" borderId="2" xfId="3" applyNumberFormat="1" applyFont="1" applyFill="1" applyBorder="1" applyAlignment="1">
      <alignment horizontal="right" vertical="center"/>
    </xf>
    <xf numFmtId="178" fontId="54" fillId="0" borderId="2" xfId="4" applyNumberFormat="1" applyFont="1" applyBorder="1" applyAlignment="1">
      <alignment horizontal="center" vertical="center"/>
    </xf>
    <xf numFmtId="0" fontId="0" fillId="0" borderId="0" xfId="0" applyAlignment="1">
      <alignment vertical="top" wrapText="1"/>
    </xf>
    <xf numFmtId="0" fontId="0" fillId="0" borderId="0" xfId="0" applyAlignment="1">
      <alignment vertical="top"/>
    </xf>
    <xf numFmtId="0" fontId="56" fillId="0" borderId="76" xfId="7" applyFont="1" applyFill="1" applyBorder="1" applyAlignment="1">
      <alignment horizontal="center" vertical="center"/>
    </xf>
    <xf numFmtId="0" fontId="56" fillId="0" borderId="77" xfId="7" applyFont="1" applyFill="1" applyBorder="1" applyAlignment="1">
      <alignment horizontal="center" vertical="center"/>
    </xf>
    <xf numFmtId="0" fontId="56" fillId="0" borderId="78" xfId="7" applyFont="1" applyFill="1" applyBorder="1" applyAlignment="1">
      <alignment horizontal="center" vertical="center"/>
    </xf>
    <xf numFmtId="0" fontId="0" fillId="0" borderId="1" xfId="0" applyBorder="1" applyAlignment="1">
      <alignment vertical="top"/>
    </xf>
    <xf numFmtId="0" fontId="0" fillId="0" borderId="81" xfId="0" applyBorder="1" applyAlignment="1">
      <alignment vertical="top" wrapText="1"/>
    </xf>
    <xf numFmtId="0" fontId="0" fillId="0" borderId="81" xfId="0" applyBorder="1" applyAlignment="1">
      <alignment vertical="top"/>
    </xf>
    <xf numFmtId="0" fontId="57" fillId="0" borderId="0" xfId="0" applyFont="1" applyAlignment="1">
      <alignment vertical="top" wrapText="1"/>
    </xf>
    <xf numFmtId="0" fontId="23" fillId="0" borderId="74" xfId="3" applyBorder="1" applyAlignment="1">
      <alignment horizontal="center"/>
    </xf>
    <xf numFmtId="0" fontId="23" fillId="0" borderId="21" xfId="3" applyBorder="1" applyAlignment="1">
      <alignment horizontal="center"/>
    </xf>
    <xf numFmtId="0" fontId="23" fillId="0" borderId="45" xfId="3" applyBorder="1" applyAlignment="1">
      <alignment horizontal="center"/>
    </xf>
    <xf numFmtId="0" fontId="24" fillId="8" borderId="0" xfId="3" applyFont="1" applyFill="1" applyAlignment="1">
      <alignment horizontal="left" vertical="center"/>
    </xf>
    <xf numFmtId="0" fontId="32" fillId="0" borderId="0" xfId="3" applyFont="1" applyAlignment="1">
      <alignment horizontal="left"/>
    </xf>
    <xf numFmtId="0" fontId="32" fillId="0" borderId="1" xfId="3" applyFont="1" applyBorder="1" applyAlignment="1">
      <alignment horizontal="left"/>
    </xf>
    <xf numFmtId="0" fontId="33" fillId="0" borderId="25" xfId="3" applyFont="1" applyFill="1" applyBorder="1" applyAlignment="1">
      <alignment horizontal="center"/>
    </xf>
    <xf numFmtId="0" fontId="33" fillId="0" borderId="26" xfId="3" applyFont="1" applyFill="1" applyBorder="1" applyAlignment="1">
      <alignment horizontal="center"/>
    </xf>
    <xf numFmtId="0" fontId="37" fillId="0" borderId="2" xfId="3" applyFont="1" applyFill="1" applyBorder="1" applyAlignment="1">
      <alignment horizontal="center" vertical="center"/>
    </xf>
    <xf numFmtId="0" fontId="21" fillId="0" borderId="74" xfId="3" applyFont="1" applyBorder="1" applyAlignment="1">
      <alignment horizontal="left" vertical="center"/>
    </xf>
    <xf numFmtId="0" fontId="21" fillId="0" borderId="45" xfId="3" applyFont="1" applyBorder="1" applyAlignment="1">
      <alignment horizontal="left" vertical="center"/>
    </xf>
    <xf numFmtId="0" fontId="23" fillId="0" borderId="2" xfId="3" applyBorder="1" applyAlignment="1">
      <alignment horizontal="left" vertical="top" wrapText="1"/>
    </xf>
    <xf numFmtId="10" fontId="0" fillId="0" borderId="2" xfId="4" applyNumberFormat="1" applyFont="1" applyFill="1" applyBorder="1" applyAlignment="1">
      <alignment horizontal="center" vertical="center"/>
    </xf>
    <xf numFmtId="0" fontId="35" fillId="0" borderId="74" xfId="3" applyFont="1" applyBorder="1" applyAlignment="1">
      <alignment horizontal="center" vertical="center"/>
    </xf>
    <xf numFmtId="0" fontId="35" fillId="0" borderId="45" xfId="3" applyFont="1" applyBorder="1" applyAlignment="1">
      <alignment horizontal="center" vertical="center"/>
    </xf>
    <xf numFmtId="0" fontId="4" fillId="0" borderId="2" xfId="3" applyFont="1" applyBorder="1" applyAlignment="1">
      <alignment horizontal="center" vertical="center"/>
    </xf>
    <xf numFmtId="10" fontId="0" fillId="0" borderId="2" xfId="4" applyNumberFormat="1" applyFont="1" applyBorder="1" applyAlignment="1">
      <alignment horizontal="center"/>
    </xf>
    <xf numFmtId="0" fontId="39" fillId="0" borderId="2" xfId="3" applyFont="1" applyFill="1" applyBorder="1" applyAlignment="1">
      <alignment horizontal="left" vertical="top" wrapText="1"/>
    </xf>
    <xf numFmtId="0" fontId="58" fillId="0" borderId="20" xfId="7" applyFont="1" applyBorder="1" applyAlignment="1">
      <alignment horizontal="left" vertical="center"/>
    </xf>
    <xf numFmtId="0" fontId="58" fillId="0" borderId="79" xfId="7" applyFont="1" applyBorder="1" applyAlignment="1">
      <alignment horizontal="left" vertical="center"/>
    </xf>
    <xf numFmtId="0" fontId="1" fillId="11" borderId="2" xfId="7" applyFont="1" applyFill="1" applyBorder="1" applyAlignment="1">
      <alignment horizontal="center" vertical="center"/>
    </xf>
    <xf numFmtId="0" fontId="60" fillId="0" borderId="2" xfId="3" applyFont="1" applyBorder="1" applyAlignment="1">
      <alignment horizontal="center" vertical="center"/>
    </xf>
  </cellXfs>
  <cellStyles count="9">
    <cellStyle name="パーセント" xfId="2" builtinId="5"/>
    <cellStyle name="パーセント 2" xfId="4" xr:uid="{00000000-0005-0000-0000-000001000000}"/>
    <cellStyle name="ハイパーリンク 2" xfId="6" xr:uid="{00000000-0005-0000-0000-000002000000}"/>
    <cellStyle name="桁区切り" xfId="1" builtinId="6"/>
    <cellStyle name="桁区切り 2" xfId="5" xr:uid="{00000000-0005-0000-0000-000004000000}"/>
    <cellStyle name="桁区切り 4" xfId="8" xr:uid="{00000000-0005-0000-0000-000005000000}"/>
    <cellStyle name="標準" xfId="0" builtinId="0"/>
    <cellStyle name="標準 2" xfId="3" xr:uid="{00000000-0005-0000-0000-000007000000}"/>
    <cellStyle name="標準 4" xfId="7" xr:uid="{00000000-0005-0000-0000-000008000000}"/>
  </cellStyles>
  <dxfs count="18">
    <dxf>
      <font>
        <b/>
        <i val="0"/>
        <color rgb="FF00B050"/>
      </font>
      <fill>
        <patternFill>
          <bgColor theme="6" tint="0.59996337778862885"/>
        </patternFill>
      </fill>
    </dxf>
    <dxf>
      <font>
        <b/>
        <i val="0"/>
        <color rgb="FFFF0000"/>
      </font>
      <fill>
        <patternFill>
          <bgColor theme="5" tint="0.79998168889431442"/>
        </patternFill>
      </fill>
    </dxf>
    <dxf>
      <font>
        <b/>
        <i val="0"/>
        <color rgb="FF00B050"/>
      </font>
      <fill>
        <patternFill>
          <bgColor theme="6" tint="0.59996337778862885"/>
        </patternFill>
      </fill>
    </dxf>
    <dxf>
      <font>
        <b/>
        <i val="0"/>
        <color rgb="FFFF0000"/>
      </font>
      <fill>
        <patternFill>
          <bgColor theme="5" tint="0.79998168889431442"/>
        </patternFill>
      </fill>
    </dxf>
    <dxf>
      <font>
        <b/>
        <i val="0"/>
        <color rgb="FF00B050"/>
      </font>
      <fill>
        <patternFill>
          <bgColor theme="6" tint="0.59996337778862885"/>
        </patternFill>
      </fill>
    </dxf>
    <dxf>
      <font>
        <b/>
        <i val="0"/>
        <color rgb="FFFF0000"/>
      </font>
      <fill>
        <patternFill>
          <bgColor theme="5" tint="0.79998168889431442"/>
        </patternFill>
      </fill>
    </dxf>
    <dxf>
      <font>
        <b/>
        <i val="0"/>
        <color rgb="FF00B050"/>
      </font>
      <fill>
        <patternFill>
          <bgColor theme="6" tint="0.59996337778862885"/>
        </patternFill>
      </fill>
    </dxf>
    <dxf>
      <font>
        <b/>
        <i val="0"/>
        <color rgb="FFFF0000"/>
      </font>
      <fill>
        <patternFill>
          <bgColor theme="5" tint="0.79998168889431442"/>
        </patternFill>
      </fill>
    </dxf>
    <dxf>
      <font>
        <b/>
        <i val="0"/>
        <color rgb="FF0000CC"/>
      </font>
    </dxf>
    <dxf>
      <font>
        <b/>
        <i val="0"/>
        <color rgb="FFFF0000"/>
      </font>
    </dxf>
    <dxf>
      <font>
        <color rgb="FFFF0000"/>
      </font>
    </dxf>
    <dxf>
      <font>
        <color rgb="FF0000CC"/>
      </font>
    </dxf>
    <dxf>
      <font>
        <b/>
        <i val="0"/>
        <color rgb="FF00B050"/>
      </font>
      <fill>
        <patternFill>
          <bgColor theme="6" tint="0.59996337778862885"/>
        </patternFill>
      </fill>
    </dxf>
    <dxf>
      <font>
        <b/>
        <i val="0"/>
        <color rgb="FFFF0000"/>
      </font>
      <fill>
        <patternFill>
          <bgColor theme="5" tint="0.79998168889431442"/>
        </patternFill>
      </fill>
    </dxf>
    <dxf>
      <font>
        <b/>
        <i val="0"/>
        <color rgb="FF00B050"/>
      </font>
      <fill>
        <patternFill>
          <bgColor theme="6" tint="0.59996337778862885"/>
        </patternFill>
      </fill>
    </dxf>
    <dxf>
      <font>
        <b/>
        <i val="0"/>
        <color rgb="FFFF0000"/>
      </font>
      <fill>
        <patternFill>
          <bgColor theme="5" tint="0.79998168889431442"/>
        </patternFill>
      </fill>
    </dxf>
    <dxf>
      <font>
        <b/>
        <i val="0"/>
        <color rgb="FF00B050"/>
      </font>
      <fill>
        <patternFill>
          <bgColor theme="6" tint="0.59996337778862885"/>
        </patternFill>
      </fill>
    </dxf>
    <dxf>
      <font>
        <b/>
        <i val="0"/>
        <color rgb="FFFF0000"/>
      </font>
      <fill>
        <patternFill>
          <bgColor theme="5" tint="0.79998168889431442"/>
        </patternFill>
      </fill>
    </dxf>
  </dxfs>
  <tableStyles count="0" defaultTableStyle="TableStyleMedium2" defaultPivotStyle="PivotStyleLight16"/>
  <colors>
    <mruColors>
      <color rgb="FFFFFF66"/>
      <color rgb="FF0000FF"/>
      <color rgb="FFFFFFCC"/>
      <color rgb="FF5F5F5F"/>
      <color rgb="FFD5D5FF"/>
      <color rgb="FFCCCCFF"/>
      <color rgb="FFFF5353"/>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ja-JP" altLang="ja-JP" sz="1800" b="1" i="0" cap="all" baseline="0">
                <a:effectLst/>
              </a:rPr>
              <a:t>シミュレーション（</a:t>
            </a:r>
            <a:r>
              <a:rPr lang="en-US" altLang="ja-JP" sz="1800" b="1" i="0" cap="all" baseline="0">
                <a:effectLst/>
              </a:rPr>
              <a:t>NPV</a:t>
            </a:r>
            <a:r>
              <a:rPr lang="ja-JP" altLang="ja-JP" sz="1800" b="1" i="0" cap="all" baseline="0">
                <a:effectLst/>
              </a:rPr>
              <a:t>）</a:t>
            </a:r>
            <a:endParaRPr lang="ja-JP" altLang="ja-JP">
              <a:effectLst/>
            </a:endParaRP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8.9876147206511645E-2"/>
          <c:y val="1.783529838021369E-2"/>
          <c:w val="0.90138804457840316"/>
          <c:h val="0.96588013498473158"/>
        </c:manualLayout>
      </c:layout>
      <c:barChart>
        <c:barDir val="col"/>
        <c:grouping val="stacked"/>
        <c:varyColors val="0"/>
        <c:ser>
          <c:idx val="0"/>
          <c:order val="0"/>
          <c:tx>
            <c:strRef>
              <c:f>ﾃﾝﾌﾟﾚｰﾄ!$B$99</c:f>
              <c:strCache>
                <c:ptCount val="1"/>
                <c:pt idx="0">
                  <c:v>①”税引後CIF（営業CF）</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ﾃﾝﾌﾟﾚｰﾄ!$C$92:$H$92</c:f>
              <c:strCache>
                <c:ptCount val="6"/>
                <c:pt idx="0">
                  <c:v>投資時点</c:v>
                </c:pt>
                <c:pt idx="1">
                  <c:v>1年後</c:v>
                </c:pt>
                <c:pt idx="2">
                  <c:v>2年後</c:v>
                </c:pt>
                <c:pt idx="3">
                  <c:v>3年後</c:v>
                </c:pt>
                <c:pt idx="4">
                  <c:v>4年後</c:v>
                </c:pt>
                <c:pt idx="5">
                  <c:v>5年後</c:v>
                </c:pt>
              </c:strCache>
            </c:strRef>
          </c:cat>
          <c:val>
            <c:numRef>
              <c:f>ﾃﾝﾌﾟﾚｰﾄ!$C$99:$H$99</c:f>
              <c:numCache>
                <c:formatCode>#,##0_);[Red]\(#,##0\)</c:formatCode>
                <c:ptCount val="6"/>
                <c:pt idx="0">
                  <c:v>603511726</c:v>
                </c:pt>
                <c:pt idx="1">
                  <c:v>130327656</c:v>
                </c:pt>
                <c:pt idx="2">
                  <c:v>125560160</c:v>
                </c:pt>
                <c:pt idx="3">
                  <c:v>120503417</c:v>
                </c:pt>
                <c:pt idx="4">
                  <c:v>115904335</c:v>
                </c:pt>
                <c:pt idx="5">
                  <c:v>111216158</c:v>
                </c:pt>
              </c:numCache>
            </c:numRef>
          </c:val>
          <c:extLst>
            <c:ext xmlns:c16="http://schemas.microsoft.com/office/drawing/2014/chart" uri="{C3380CC4-5D6E-409C-BE32-E72D297353CC}">
              <c16:uniqueId val="{00000000-13D6-44B2-9CF0-8B7FD3AF68B3}"/>
            </c:ext>
          </c:extLst>
        </c:ser>
        <c:ser>
          <c:idx val="2"/>
          <c:order val="1"/>
          <c:tx>
            <c:strRef>
              <c:f>ﾃﾝﾌﾟﾚｰﾄ!$B$100</c:f>
              <c:strCache>
                <c:ptCount val="1"/>
                <c:pt idx="0">
                  <c:v>②'タックスシールド</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ﾃﾝﾌﾟﾚｰﾄ!$C$100:$H$100</c:f>
              <c:numCache>
                <c:formatCode>#,##0_);[Red]\(#,##0\)</c:formatCode>
                <c:ptCount val="6"/>
                <c:pt idx="0">
                  <c:v>2593164</c:v>
                </c:pt>
                <c:pt idx="1">
                  <c:v>947632</c:v>
                </c:pt>
                <c:pt idx="2">
                  <c:v>645828</c:v>
                </c:pt>
                <c:pt idx="3">
                  <c:v>528469</c:v>
                </c:pt>
                <c:pt idx="4">
                  <c:v>280360</c:v>
                </c:pt>
                <c:pt idx="5">
                  <c:v>190875</c:v>
                </c:pt>
              </c:numCache>
            </c:numRef>
          </c:val>
          <c:extLst>
            <c:ext xmlns:c16="http://schemas.microsoft.com/office/drawing/2014/chart" uri="{C3380CC4-5D6E-409C-BE32-E72D297353CC}">
              <c16:uniqueId val="{00000001-13D6-44B2-9CF0-8B7FD3AF68B3}"/>
            </c:ext>
          </c:extLst>
        </c:ser>
        <c:ser>
          <c:idx val="1"/>
          <c:order val="2"/>
          <c:tx>
            <c:strRef>
              <c:f>ﾃﾝﾌﾟﾚｰﾄ!$B$102</c:f>
              <c:strCache>
                <c:ptCount val="1"/>
                <c:pt idx="0">
                  <c:v>投資額</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ﾃﾝﾌﾟﾚｰﾄ!$C$102:$H$102</c:f>
              <c:numCache>
                <c:formatCode>General</c:formatCode>
                <c:ptCount val="6"/>
                <c:pt idx="0" formatCode="#,##0_);[Red]\(#,##0\)">
                  <c:v>-15000000</c:v>
                </c:pt>
              </c:numCache>
            </c:numRef>
          </c:val>
          <c:extLst>
            <c:ext xmlns:c16="http://schemas.microsoft.com/office/drawing/2014/chart" uri="{C3380CC4-5D6E-409C-BE32-E72D297353CC}">
              <c16:uniqueId val="{00000002-13D6-44B2-9CF0-8B7FD3AF68B3}"/>
            </c:ext>
          </c:extLst>
        </c:ser>
        <c:dLbls>
          <c:dLblPos val="ctr"/>
          <c:showLegendKey val="0"/>
          <c:showVal val="1"/>
          <c:showCatName val="0"/>
          <c:showSerName val="0"/>
          <c:showPercent val="0"/>
          <c:showBubbleSize val="0"/>
        </c:dLbls>
        <c:gapWidth val="50"/>
        <c:overlap val="100"/>
        <c:axId val="492133256"/>
        <c:axId val="492133640"/>
      </c:barChart>
      <c:catAx>
        <c:axId val="49213325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2133640"/>
        <c:crosses val="autoZero"/>
        <c:auto val="1"/>
        <c:lblAlgn val="ctr"/>
        <c:lblOffset val="100"/>
        <c:noMultiLvlLbl val="0"/>
      </c:catAx>
      <c:valAx>
        <c:axId val="492133640"/>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2133256"/>
        <c:crosses val="autoZero"/>
        <c:crossBetween val="between"/>
      </c:valAx>
      <c:spPr>
        <a:noFill/>
        <a:ln>
          <a:noFill/>
        </a:ln>
        <a:effectLst/>
      </c:spPr>
    </c:plotArea>
    <c:legend>
      <c:legendPos val="r"/>
      <c:layout>
        <c:manualLayout>
          <c:xMode val="edge"/>
          <c:yMode val="edge"/>
          <c:x val="0.68943961828378864"/>
          <c:y val="4.199767017959153E-2"/>
          <c:w val="0.29195999671010953"/>
          <c:h val="0.235232859947916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CIF/COF</a:t>
            </a:r>
            <a:r>
              <a:rPr lang="ja-JP"/>
              <a:t>シミュレーション（</a:t>
            </a:r>
            <a:r>
              <a:rPr lang="en-US"/>
              <a:t>NPV</a:t>
            </a:r>
            <a:r>
              <a:rPr lang="ja-JP"/>
              <a:t>）</a:t>
            </a:r>
          </a:p>
        </c:rich>
      </c:tx>
      <c:layout>
        <c:manualLayout>
          <c:xMode val="edge"/>
          <c:yMode val="edge"/>
          <c:x val="0.32962180344331471"/>
          <c:y val="3.1975363495687081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tx>
            <c:strRef>
              <c:f>計算ワーク!$B$232</c:f>
              <c:strCache>
                <c:ptCount val="1"/>
                <c:pt idx="0">
                  <c:v>①”税引後CIF（営業CF）</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計算ワーク!$C$225:$H$225</c:f>
              <c:strCache>
                <c:ptCount val="6"/>
                <c:pt idx="0">
                  <c:v>投資時点</c:v>
                </c:pt>
                <c:pt idx="1">
                  <c:v>1年後</c:v>
                </c:pt>
                <c:pt idx="2">
                  <c:v>2年後</c:v>
                </c:pt>
                <c:pt idx="3">
                  <c:v>3年後</c:v>
                </c:pt>
                <c:pt idx="4">
                  <c:v>4年後</c:v>
                </c:pt>
                <c:pt idx="5">
                  <c:v>5年後</c:v>
                </c:pt>
              </c:strCache>
            </c:strRef>
          </c:cat>
          <c:val>
            <c:numRef>
              <c:f>計算ワーク!$C$232:$H$232</c:f>
              <c:numCache>
                <c:formatCode>#,##0_);[Red]\(#,##0\)</c:formatCode>
                <c:ptCount val="6"/>
                <c:pt idx="0">
                  <c:v>634762139</c:v>
                </c:pt>
                <c:pt idx="1">
                  <c:v>121750192</c:v>
                </c:pt>
                <c:pt idx="2">
                  <c:v>124530199</c:v>
                </c:pt>
                <c:pt idx="3">
                  <c:v>126927486</c:v>
                </c:pt>
                <c:pt idx="4">
                  <c:v>129454391</c:v>
                </c:pt>
                <c:pt idx="5">
                  <c:v>132099871</c:v>
                </c:pt>
              </c:numCache>
            </c:numRef>
          </c:val>
          <c:extLst>
            <c:ext xmlns:c16="http://schemas.microsoft.com/office/drawing/2014/chart" uri="{C3380CC4-5D6E-409C-BE32-E72D297353CC}">
              <c16:uniqueId val="{00000000-7C18-42A9-80F3-12A5D5481A08}"/>
            </c:ext>
          </c:extLst>
        </c:ser>
        <c:ser>
          <c:idx val="2"/>
          <c:order val="1"/>
          <c:tx>
            <c:strRef>
              <c:f>計算ワーク!$B$233</c:f>
              <c:strCache>
                <c:ptCount val="1"/>
                <c:pt idx="0">
                  <c:v>②'タックスシールド</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計算ワーク!$C$225:$H$225</c:f>
              <c:strCache>
                <c:ptCount val="6"/>
                <c:pt idx="0">
                  <c:v>投資時点</c:v>
                </c:pt>
                <c:pt idx="1">
                  <c:v>1年後</c:v>
                </c:pt>
                <c:pt idx="2">
                  <c:v>2年後</c:v>
                </c:pt>
                <c:pt idx="3">
                  <c:v>3年後</c:v>
                </c:pt>
                <c:pt idx="4">
                  <c:v>4年後</c:v>
                </c:pt>
                <c:pt idx="5">
                  <c:v>5年後</c:v>
                </c:pt>
              </c:strCache>
            </c:strRef>
          </c:cat>
          <c:val>
            <c:numRef>
              <c:f>計算ワーク!$C$233:$H$233</c:f>
              <c:numCache>
                <c:formatCode>#,##0_);[Red]\(#,##0\)</c:formatCode>
                <c:ptCount val="6"/>
                <c:pt idx="0">
                  <c:v>3897780</c:v>
                </c:pt>
                <c:pt idx="1">
                  <c:v>1315860</c:v>
                </c:pt>
                <c:pt idx="2">
                  <c:v>952087</c:v>
                </c:pt>
                <c:pt idx="3">
                  <c:v>827394</c:v>
                </c:pt>
                <c:pt idx="4">
                  <c:v>465447</c:v>
                </c:pt>
                <c:pt idx="5">
                  <c:v>336992</c:v>
                </c:pt>
              </c:numCache>
            </c:numRef>
          </c:val>
          <c:extLst>
            <c:ext xmlns:c16="http://schemas.microsoft.com/office/drawing/2014/chart" uri="{C3380CC4-5D6E-409C-BE32-E72D297353CC}">
              <c16:uniqueId val="{00000001-7C18-42A9-80F3-12A5D5481A08}"/>
            </c:ext>
          </c:extLst>
        </c:ser>
        <c:ser>
          <c:idx val="3"/>
          <c:order val="2"/>
          <c:tx>
            <c:strRef>
              <c:f>計算ワーク!$B$235</c:f>
              <c:strCache>
                <c:ptCount val="1"/>
                <c:pt idx="0">
                  <c:v>投資額</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計算ワーク!$C$225:$H$225</c:f>
              <c:strCache>
                <c:ptCount val="6"/>
                <c:pt idx="0">
                  <c:v>投資時点</c:v>
                </c:pt>
                <c:pt idx="1">
                  <c:v>1年後</c:v>
                </c:pt>
                <c:pt idx="2">
                  <c:v>2年後</c:v>
                </c:pt>
                <c:pt idx="3">
                  <c:v>3年後</c:v>
                </c:pt>
                <c:pt idx="4">
                  <c:v>4年後</c:v>
                </c:pt>
                <c:pt idx="5">
                  <c:v>5年後</c:v>
                </c:pt>
              </c:strCache>
            </c:strRef>
          </c:cat>
          <c:val>
            <c:numRef>
              <c:f>計算ワーク!$C$235:$H$235</c:f>
              <c:numCache>
                <c:formatCode>General</c:formatCode>
                <c:ptCount val="6"/>
                <c:pt idx="0" formatCode="#,##0_);[Red]\(#,##0\)">
                  <c:v>-15000000</c:v>
                </c:pt>
              </c:numCache>
            </c:numRef>
          </c:val>
          <c:extLst>
            <c:ext xmlns:c16="http://schemas.microsoft.com/office/drawing/2014/chart" uri="{C3380CC4-5D6E-409C-BE32-E72D297353CC}">
              <c16:uniqueId val="{00000002-7C18-42A9-80F3-12A5D5481A08}"/>
            </c:ext>
          </c:extLst>
        </c:ser>
        <c:dLbls>
          <c:dLblPos val="ctr"/>
          <c:showLegendKey val="0"/>
          <c:showVal val="1"/>
          <c:showCatName val="0"/>
          <c:showSerName val="0"/>
          <c:showPercent val="0"/>
          <c:showBubbleSize val="0"/>
        </c:dLbls>
        <c:gapWidth val="50"/>
        <c:overlap val="100"/>
        <c:axId val="378682816"/>
        <c:axId val="378683200"/>
      </c:barChart>
      <c:catAx>
        <c:axId val="3786828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8683200"/>
        <c:crosses val="autoZero"/>
        <c:auto val="0"/>
        <c:lblAlgn val="ctr"/>
        <c:lblOffset val="100"/>
        <c:noMultiLvlLbl val="0"/>
      </c:catAx>
      <c:valAx>
        <c:axId val="378683200"/>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868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菓子分類比率</a:t>
            </a:r>
          </a:p>
        </c:rich>
      </c:tx>
      <c:overlay val="0"/>
    </c:title>
    <c:autoTitleDeleted val="0"/>
    <c:plotArea>
      <c:layout/>
      <c:pieChart>
        <c:varyColors val="1"/>
        <c:ser>
          <c:idx val="0"/>
          <c:order val="0"/>
          <c:dLbls>
            <c:numFmt formatCode="0.0%" sourceLinked="0"/>
            <c:spPr>
              <a:noFill/>
              <a:ln>
                <a:noFill/>
              </a:ln>
              <a:effectLst/>
            </c:spPr>
            <c:txPr>
              <a:bodyPr wrap="square" lIns="38100" tIns="19050" rIns="38100" bIns="19050" anchor="ctr">
                <a:spAutoFit/>
              </a:bodyPr>
              <a:lstStyle/>
              <a:p>
                <a:pPr>
                  <a:defRPr sz="1400"/>
                </a:pPr>
                <a:endParaRPr lang="ja-JP"/>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ｸﾞﾗﾌﾜｰｸ!$A$1:$A$2</c:f>
              <c:strCache>
                <c:ptCount val="2"/>
                <c:pt idx="0">
                  <c:v>生菓子売上</c:v>
                </c:pt>
                <c:pt idx="1">
                  <c:v>焼菓子売上</c:v>
                </c:pt>
              </c:strCache>
            </c:strRef>
          </c:cat>
          <c:val>
            <c:numRef>
              <c:f>ｸﾞﾗﾌﾜｰｸ!$B$1:$B$2</c:f>
              <c:numCache>
                <c:formatCode>#,##0.00</c:formatCode>
                <c:ptCount val="2"/>
                <c:pt idx="0">
                  <c:v>34409.199999999997</c:v>
                </c:pt>
                <c:pt idx="1">
                  <c:v>14746.8</c:v>
                </c:pt>
              </c:numCache>
            </c:numRef>
          </c:val>
          <c:extLst>
            <c:ext xmlns:c16="http://schemas.microsoft.com/office/drawing/2014/chart" uri="{C3380CC4-5D6E-409C-BE32-E72D297353CC}">
              <c16:uniqueId val="{00000000-4653-4259-A6EE-ECD947D6A3E4}"/>
            </c:ext>
          </c:extLst>
        </c:ser>
        <c:dLbls>
          <c:dLblPos val="bestFit"/>
          <c:showLegendKey val="0"/>
          <c:showVal val="1"/>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採算性（生菓子）</a:t>
            </a:r>
          </a:p>
        </c:rich>
      </c:tx>
      <c:overlay val="0"/>
    </c:title>
    <c:autoTitleDeleted val="0"/>
    <c:plotArea>
      <c:layout/>
      <c:pieChart>
        <c:varyColors val="1"/>
        <c:ser>
          <c:idx val="0"/>
          <c:order val="0"/>
          <c:dLbls>
            <c:numFmt formatCode="0.0%" sourceLinked="0"/>
            <c:spPr>
              <a:noFill/>
              <a:ln>
                <a:noFill/>
              </a:ln>
              <a:effectLst/>
            </c:spPr>
            <c:txPr>
              <a:bodyPr wrap="square" lIns="38100" tIns="19050" rIns="38100" bIns="19050" anchor="ctr">
                <a:spAutoFit/>
              </a:bodyPr>
              <a:lstStyle/>
              <a:p>
                <a:pPr>
                  <a:defRPr sz="1400"/>
                </a:pPr>
                <a:endParaRPr lang="ja-JP"/>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ｸﾞﾗﾌﾜｰｸ!$C$10:$F$10</c:f>
              <c:strCache>
                <c:ptCount val="4"/>
                <c:pt idx="0">
                  <c:v>材料費</c:v>
                </c:pt>
                <c:pt idx="1">
                  <c:v>直接労務費</c:v>
                </c:pt>
                <c:pt idx="2">
                  <c:v>間接労務費</c:v>
                </c:pt>
                <c:pt idx="3">
                  <c:v>収益/個</c:v>
                </c:pt>
              </c:strCache>
            </c:strRef>
          </c:cat>
          <c:val>
            <c:numRef>
              <c:f>ｸﾞﾗﾌﾜｰｸ!$C$11:$F$11</c:f>
              <c:numCache>
                <c:formatCode>General</c:formatCode>
                <c:ptCount val="4"/>
                <c:pt idx="0">
                  <c:v>132.69999999999999</c:v>
                </c:pt>
                <c:pt idx="1">
                  <c:v>57.3</c:v>
                </c:pt>
                <c:pt idx="2">
                  <c:v>70.400000000000006</c:v>
                </c:pt>
                <c:pt idx="3">
                  <c:v>139.6</c:v>
                </c:pt>
              </c:numCache>
            </c:numRef>
          </c:val>
          <c:extLst>
            <c:ext xmlns:c16="http://schemas.microsoft.com/office/drawing/2014/chart" uri="{C3380CC4-5D6E-409C-BE32-E72D297353CC}">
              <c16:uniqueId val="{00000000-4D1E-4AF7-BCF4-08238F52156F}"/>
            </c:ext>
          </c:extLst>
        </c:ser>
        <c:dLbls>
          <c:dLblPos val="bestFit"/>
          <c:showLegendKey val="0"/>
          <c:showVal val="1"/>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200"/>
            </a:pPr>
            <a:r>
              <a:rPr lang="ja-JP"/>
              <a:t>売上額と労務費率の推移</a:t>
            </a:r>
          </a:p>
        </c:rich>
      </c:tx>
      <c:overlay val="0"/>
    </c:title>
    <c:autoTitleDeleted val="0"/>
    <c:plotArea>
      <c:layout/>
      <c:lineChart>
        <c:grouping val="standard"/>
        <c:varyColors val="0"/>
        <c:ser>
          <c:idx val="0"/>
          <c:order val="0"/>
          <c:tx>
            <c:strRef>
              <c:f>作文結果!$B$47</c:f>
              <c:strCache>
                <c:ptCount val="1"/>
                <c:pt idx="0">
                  <c:v>売上額</c:v>
                </c:pt>
              </c:strCache>
            </c:strRef>
          </c:tx>
          <c:dLbls>
            <c:spPr>
              <a:noFill/>
              <a:ln>
                <a:noFill/>
              </a:ln>
              <a:effectLst/>
            </c:spPr>
            <c:txPr>
              <a:bodyPr wrap="square" lIns="38100" tIns="19050" rIns="38100" bIns="19050" anchor="ctr">
                <a:spAutoFit/>
              </a:bodyPr>
              <a:lstStyle/>
              <a:p>
                <a:pPr>
                  <a:defRPr sz="1100"/>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作文結果!$A$48:$A$49</c:f>
              <c:strCache>
                <c:ptCount val="2"/>
                <c:pt idx="0">
                  <c:v>設備導入前</c:v>
                </c:pt>
                <c:pt idx="1">
                  <c:v>設備導入後</c:v>
                </c:pt>
              </c:strCache>
            </c:strRef>
          </c:cat>
          <c:val>
            <c:numRef>
              <c:f>作文結果!$B$48:$B$49</c:f>
              <c:numCache>
                <c:formatCode>#,##0</c:formatCode>
                <c:ptCount val="2"/>
                <c:pt idx="0">
                  <c:v>49156</c:v>
                </c:pt>
                <c:pt idx="1">
                  <c:v>58496</c:v>
                </c:pt>
              </c:numCache>
            </c:numRef>
          </c:val>
          <c:smooth val="0"/>
          <c:extLst>
            <c:ext xmlns:c16="http://schemas.microsoft.com/office/drawing/2014/chart" uri="{C3380CC4-5D6E-409C-BE32-E72D297353CC}">
              <c16:uniqueId val="{00000000-1EFE-4955-AD3D-443F9533F9BE}"/>
            </c:ext>
          </c:extLst>
        </c:ser>
        <c:dLbls>
          <c:showLegendKey val="0"/>
          <c:showVal val="1"/>
          <c:showCatName val="0"/>
          <c:showSerName val="0"/>
          <c:showPercent val="0"/>
          <c:showBubbleSize val="0"/>
        </c:dLbls>
        <c:marker val="1"/>
        <c:smooth val="0"/>
        <c:axId val="67247136"/>
        <c:axId val="2130358208"/>
      </c:lineChart>
      <c:lineChart>
        <c:grouping val="standard"/>
        <c:varyColors val="0"/>
        <c:ser>
          <c:idx val="3"/>
          <c:order val="1"/>
          <c:tx>
            <c:strRef>
              <c:f>作文結果!$E$47</c:f>
              <c:strCache>
                <c:ptCount val="1"/>
                <c:pt idx="0">
                  <c:v>労務費率</c:v>
                </c:pt>
              </c:strCache>
            </c:strRef>
          </c:tx>
          <c:dLbls>
            <c:spPr>
              <a:noFill/>
              <a:ln>
                <a:noFill/>
              </a:ln>
              <a:effectLst/>
            </c:spPr>
            <c:txPr>
              <a:bodyPr wrap="square" lIns="38100" tIns="19050" rIns="38100" bIns="19050" anchor="ctr">
                <a:spAutoFit/>
              </a:bodyPr>
              <a:lstStyle/>
              <a:p>
                <a:pPr>
                  <a:defRPr sz="1100"/>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作文結果!$A$48:$A$49</c:f>
              <c:strCache>
                <c:ptCount val="2"/>
                <c:pt idx="0">
                  <c:v>設備導入前</c:v>
                </c:pt>
                <c:pt idx="1">
                  <c:v>設備導入後</c:v>
                </c:pt>
              </c:strCache>
            </c:strRef>
          </c:cat>
          <c:val>
            <c:numRef>
              <c:f>作文結果!$E$48:$E$49</c:f>
              <c:numCache>
                <c:formatCode>0.00%</c:formatCode>
                <c:ptCount val="2"/>
                <c:pt idx="0">
                  <c:v>0.307</c:v>
                </c:pt>
                <c:pt idx="1">
                  <c:v>0.26800000000000002</c:v>
                </c:pt>
              </c:numCache>
            </c:numRef>
          </c:val>
          <c:smooth val="0"/>
          <c:extLst>
            <c:ext xmlns:c16="http://schemas.microsoft.com/office/drawing/2014/chart" uri="{C3380CC4-5D6E-409C-BE32-E72D297353CC}">
              <c16:uniqueId val="{00000003-1EFE-4955-AD3D-443F9533F9BE}"/>
            </c:ext>
          </c:extLst>
        </c:ser>
        <c:dLbls>
          <c:showLegendKey val="0"/>
          <c:showVal val="0"/>
          <c:showCatName val="0"/>
          <c:showSerName val="0"/>
          <c:showPercent val="0"/>
          <c:showBubbleSize val="0"/>
        </c:dLbls>
        <c:marker val="1"/>
        <c:smooth val="0"/>
        <c:axId val="2135088864"/>
        <c:axId val="2130359872"/>
      </c:lineChart>
      <c:catAx>
        <c:axId val="67247136"/>
        <c:scaling>
          <c:orientation val="minMax"/>
        </c:scaling>
        <c:delete val="0"/>
        <c:axPos val="b"/>
        <c:numFmt formatCode="General" sourceLinked="1"/>
        <c:majorTickMark val="out"/>
        <c:minorTickMark val="none"/>
        <c:tickLblPos val="nextTo"/>
        <c:crossAx val="2130358208"/>
        <c:crosses val="autoZero"/>
        <c:auto val="1"/>
        <c:lblAlgn val="ctr"/>
        <c:lblOffset val="100"/>
        <c:noMultiLvlLbl val="0"/>
      </c:catAx>
      <c:valAx>
        <c:axId val="2130358208"/>
        <c:scaling>
          <c:orientation val="minMax"/>
        </c:scaling>
        <c:delete val="0"/>
        <c:axPos val="l"/>
        <c:majorGridlines/>
        <c:numFmt formatCode="#,##0" sourceLinked="1"/>
        <c:majorTickMark val="out"/>
        <c:minorTickMark val="none"/>
        <c:tickLblPos val="nextTo"/>
        <c:crossAx val="67247136"/>
        <c:crosses val="autoZero"/>
        <c:crossBetween val="between"/>
      </c:valAx>
      <c:valAx>
        <c:axId val="2130359872"/>
        <c:scaling>
          <c:orientation val="minMax"/>
        </c:scaling>
        <c:delete val="0"/>
        <c:axPos val="r"/>
        <c:numFmt formatCode="0.00%" sourceLinked="1"/>
        <c:majorTickMark val="out"/>
        <c:minorTickMark val="none"/>
        <c:tickLblPos val="nextTo"/>
        <c:crossAx val="2135088864"/>
        <c:crosses val="max"/>
        <c:crossBetween val="between"/>
      </c:valAx>
      <c:catAx>
        <c:axId val="2135088864"/>
        <c:scaling>
          <c:orientation val="minMax"/>
        </c:scaling>
        <c:delete val="1"/>
        <c:axPos val="b"/>
        <c:numFmt formatCode="General" sourceLinked="1"/>
        <c:majorTickMark val="out"/>
        <c:minorTickMark val="none"/>
        <c:tickLblPos val="nextTo"/>
        <c:crossAx val="2130359872"/>
        <c:crosses val="autoZero"/>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200"/>
            </a:pPr>
            <a:r>
              <a:rPr lang="ja-JP"/>
              <a:t>労務費と収益率の推移</a:t>
            </a:r>
            <a:r>
              <a:rPr lang="en-US"/>
              <a:t>(</a:t>
            </a:r>
            <a:r>
              <a:rPr lang="ja-JP"/>
              <a:t>生菓子</a:t>
            </a:r>
            <a:r>
              <a:rPr lang="en-US"/>
              <a:t>)</a:t>
            </a:r>
          </a:p>
        </c:rich>
      </c:tx>
      <c:overlay val="0"/>
    </c:title>
    <c:autoTitleDeleted val="0"/>
    <c:plotArea>
      <c:layout/>
      <c:lineChart>
        <c:grouping val="standard"/>
        <c:varyColors val="0"/>
        <c:ser>
          <c:idx val="2"/>
          <c:order val="0"/>
          <c:tx>
            <c:strRef>
              <c:f>作文結果!$D$54</c:f>
              <c:strCache>
                <c:ptCount val="1"/>
                <c:pt idx="0">
                  <c:v>③直接労務費</c:v>
                </c:pt>
              </c:strCache>
            </c:strRef>
          </c:tx>
          <c:dLbls>
            <c:spPr>
              <a:noFill/>
              <a:ln>
                <a:noFill/>
              </a:ln>
              <a:effectLst/>
            </c:spPr>
            <c:txPr>
              <a:bodyPr wrap="square" lIns="38100" tIns="19050" rIns="38100" bIns="19050" anchor="ctr">
                <a:spAutoFit/>
              </a:bodyPr>
              <a:lstStyle/>
              <a:p>
                <a:pPr>
                  <a:defRPr sz="1100"/>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作文結果!$A$55:$A$56</c:f>
              <c:strCache>
                <c:ptCount val="2"/>
                <c:pt idx="0">
                  <c:v>設備導入前</c:v>
                </c:pt>
                <c:pt idx="1">
                  <c:v>設備導入後</c:v>
                </c:pt>
              </c:strCache>
            </c:strRef>
          </c:cat>
          <c:val>
            <c:numRef>
              <c:f>作文結果!$D$55:$D$56</c:f>
              <c:numCache>
                <c:formatCode>General</c:formatCode>
                <c:ptCount val="2"/>
                <c:pt idx="0">
                  <c:v>57.3</c:v>
                </c:pt>
                <c:pt idx="1">
                  <c:v>52.1</c:v>
                </c:pt>
              </c:numCache>
            </c:numRef>
          </c:val>
          <c:smooth val="0"/>
          <c:extLst>
            <c:ext xmlns:c16="http://schemas.microsoft.com/office/drawing/2014/chart" uri="{C3380CC4-5D6E-409C-BE32-E72D297353CC}">
              <c16:uniqueId val="{00000002-8840-482B-9BC4-072310D68A05}"/>
            </c:ext>
          </c:extLst>
        </c:ser>
        <c:ser>
          <c:idx val="3"/>
          <c:order val="1"/>
          <c:tx>
            <c:strRef>
              <c:f>作文結果!$E$54</c:f>
              <c:strCache>
                <c:ptCount val="1"/>
                <c:pt idx="0">
                  <c:v>④間接労務費</c:v>
                </c:pt>
              </c:strCache>
            </c:strRef>
          </c:tx>
          <c:dLbls>
            <c:spPr>
              <a:noFill/>
              <a:ln>
                <a:noFill/>
              </a:ln>
              <a:effectLst/>
            </c:spPr>
            <c:txPr>
              <a:bodyPr wrap="square" lIns="38100" tIns="19050" rIns="38100" bIns="19050" anchor="ctr">
                <a:spAutoFit/>
              </a:bodyPr>
              <a:lstStyle/>
              <a:p>
                <a:pPr>
                  <a:defRPr sz="1100"/>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作文結果!$A$55:$A$56</c:f>
              <c:strCache>
                <c:ptCount val="2"/>
                <c:pt idx="0">
                  <c:v>設備導入前</c:v>
                </c:pt>
                <c:pt idx="1">
                  <c:v>設備導入後</c:v>
                </c:pt>
              </c:strCache>
            </c:strRef>
          </c:cat>
          <c:val>
            <c:numRef>
              <c:f>作文結果!$E$55:$E$56</c:f>
              <c:numCache>
                <c:formatCode>General</c:formatCode>
                <c:ptCount val="2"/>
                <c:pt idx="0">
                  <c:v>70.400000000000006</c:v>
                </c:pt>
                <c:pt idx="1">
                  <c:v>72.900000000000006</c:v>
                </c:pt>
              </c:numCache>
            </c:numRef>
          </c:val>
          <c:smooth val="0"/>
          <c:extLst>
            <c:ext xmlns:c16="http://schemas.microsoft.com/office/drawing/2014/chart" uri="{C3380CC4-5D6E-409C-BE32-E72D297353CC}">
              <c16:uniqueId val="{00000003-8840-482B-9BC4-072310D68A05}"/>
            </c:ext>
          </c:extLst>
        </c:ser>
        <c:dLbls>
          <c:showLegendKey val="0"/>
          <c:showVal val="1"/>
          <c:showCatName val="0"/>
          <c:showSerName val="0"/>
          <c:showPercent val="0"/>
          <c:showBubbleSize val="0"/>
        </c:dLbls>
        <c:marker val="1"/>
        <c:smooth val="0"/>
        <c:axId val="2132627680"/>
        <c:axId val="1966443344"/>
      </c:lineChart>
      <c:lineChart>
        <c:grouping val="standard"/>
        <c:varyColors val="0"/>
        <c:ser>
          <c:idx val="6"/>
          <c:order val="2"/>
          <c:tx>
            <c:strRef>
              <c:f>作文結果!$H$54</c:f>
              <c:strCache>
                <c:ptCount val="1"/>
                <c:pt idx="0">
                  <c:v>⑦収益率</c:v>
                </c:pt>
              </c:strCache>
            </c:strRef>
          </c:tx>
          <c:dLbls>
            <c:spPr>
              <a:noFill/>
              <a:ln>
                <a:noFill/>
              </a:ln>
              <a:effectLst/>
            </c:spPr>
            <c:txPr>
              <a:bodyPr wrap="square" lIns="38100" tIns="19050" rIns="38100" bIns="19050" anchor="ctr">
                <a:spAutoFit/>
              </a:bodyPr>
              <a:lstStyle/>
              <a:p>
                <a:pPr>
                  <a:defRPr sz="1100"/>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作文結果!$A$55:$A$56</c:f>
              <c:strCache>
                <c:ptCount val="2"/>
                <c:pt idx="0">
                  <c:v>設備導入前</c:v>
                </c:pt>
                <c:pt idx="1">
                  <c:v>設備導入後</c:v>
                </c:pt>
              </c:strCache>
            </c:strRef>
          </c:cat>
          <c:val>
            <c:numRef>
              <c:f>作文結果!$H$55:$H$56</c:f>
              <c:numCache>
                <c:formatCode>0.00%</c:formatCode>
                <c:ptCount val="2"/>
                <c:pt idx="0">
                  <c:v>0.34899999999999998</c:v>
                </c:pt>
                <c:pt idx="1">
                  <c:v>0.39700000000000002</c:v>
                </c:pt>
              </c:numCache>
            </c:numRef>
          </c:val>
          <c:smooth val="0"/>
          <c:extLst>
            <c:ext xmlns:c16="http://schemas.microsoft.com/office/drawing/2014/chart" uri="{C3380CC4-5D6E-409C-BE32-E72D297353CC}">
              <c16:uniqueId val="{00000006-8840-482B-9BC4-072310D68A05}"/>
            </c:ext>
          </c:extLst>
        </c:ser>
        <c:dLbls>
          <c:showLegendKey val="0"/>
          <c:showVal val="0"/>
          <c:showCatName val="0"/>
          <c:showSerName val="0"/>
          <c:showPercent val="0"/>
          <c:showBubbleSize val="0"/>
        </c:dLbls>
        <c:marker val="1"/>
        <c:smooth val="0"/>
        <c:axId val="66994448"/>
        <c:axId val="1597874976"/>
      </c:lineChart>
      <c:catAx>
        <c:axId val="2132627680"/>
        <c:scaling>
          <c:orientation val="minMax"/>
        </c:scaling>
        <c:delete val="0"/>
        <c:axPos val="b"/>
        <c:numFmt formatCode="General" sourceLinked="1"/>
        <c:majorTickMark val="out"/>
        <c:minorTickMark val="none"/>
        <c:tickLblPos val="nextTo"/>
        <c:crossAx val="1966443344"/>
        <c:crosses val="autoZero"/>
        <c:auto val="1"/>
        <c:lblAlgn val="ctr"/>
        <c:lblOffset val="100"/>
        <c:noMultiLvlLbl val="0"/>
      </c:catAx>
      <c:valAx>
        <c:axId val="1966443344"/>
        <c:scaling>
          <c:orientation val="minMax"/>
        </c:scaling>
        <c:delete val="0"/>
        <c:axPos val="l"/>
        <c:majorGridlines/>
        <c:numFmt formatCode="General" sourceLinked="1"/>
        <c:majorTickMark val="out"/>
        <c:minorTickMark val="none"/>
        <c:tickLblPos val="nextTo"/>
        <c:crossAx val="2132627680"/>
        <c:crosses val="autoZero"/>
        <c:crossBetween val="between"/>
      </c:valAx>
      <c:valAx>
        <c:axId val="1597874976"/>
        <c:scaling>
          <c:orientation val="minMax"/>
        </c:scaling>
        <c:delete val="0"/>
        <c:axPos val="r"/>
        <c:numFmt formatCode="0.00%" sourceLinked="1"/>
        <c:majorTickMark val="out"/>
        <c:minorTickMark val="none"/>
        <c:tickLblPos val="nextTo"/>
        <c:crossAx val="66994448"/>
        <c:crosses val="max"/>
        <c:crossBetween val="between"/>
      </c:valAx>
      <c:catAx>
        <c:axId val="66994448"/>
        <c:scaling>
          <c:orientation val="minMax"/>
        </c:scaling>
        <c:delete val="1"/>
        <c:axPos val="b"/>
        <c:numFmt formatCode="General" sourceLinked="1"/>
        <c:majorTickMark val="out"/>
        <c:minorTickMark val="none"/>
        <c:tickLblPos val="nextTo"/>
        <c:crossAx val="1597874976"/>
        <c:crosses val="autoZero"/>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200"/>
            </a:pPr>
            <a:r>
              <a:rPr lang="ja-JP"/>
              <a:t>損益分岐点比率の推移</a:t>
            </a:r>
          </a:p>
        </c:rich>
      </c:tx>
      <c:overlay val="0"/>
    </c:title>
    <c:autoTitleDeleted val="0"/>
    <c:plotArea>
      <c:layout/>
      <c:lineChart>
        <c:grouping val="standard"/>
        <c:varyColors val="0"/>
        <c:ser>
          <c:idx val="0"/>
          <c:order val="0"/>
          <c:tx>
            <c:strRef>
              <c:f>作文結果!$A$92</c:f>
              <c:strCache>
                <c:ptCount val="1"/>
                <c:pt idx="0">
                  <c:v>売上高</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作文結果!$B$91:$G$91</c:f>
              <c:strCache>
                <c:ptCount val="6"/>
                <c:pt idx="0">
                  <c:v>前期実績</c:v>
                </c:pt>
                <c:pt idx="1">
                  <c:v>1年目</c:v>
                </c:pt>
                <c:pt idx="2">
                  <c:v>2年目</c:v>
                </c:pt>
                <c:pt idx="3">
                  <c:v>3年目</c:v>
                </c:pt>
                <c:pt idx="4">
                  <c:v>4年目</c:v>
                </c:pt>
                <c:pt idx="5">
                  <c:v>5年目</c:v>
                </c:pt>
              </c:strCache>
            </c:strRef>
          </c:cat>
          <c:val>
            <c:numRef>
              <c:f>作文結果!$B$92:$G$92</c:f>
              <c:numCache>
                <c:formatCode>#,##0_);[Red]\(#,##0\)</c:formatCode>
                <c:ptCount val="6"/>
                <c:pt idx="0">
                  <c:v>491560000</c:v>
                </c:pt>
                <c:pt idx="1">
                  <c:v>510230000</c:v>
                </c:pt>
                <c:pt idx="2">
                  <c:v>529610000</c:v>
                </c:pt>
                <c:pt idx="3">
                  <c:v>549730000</c:v>
                </c:pt>
                <c:pt idx="4">
                  <c:v>570610000</c:v>
                </c:pt>
                <c:pt idx="5">
                  <c:v>592290000</c:v>
                </c:pt>
              </c:numCache>
            </c:numRef>
          </c:val>
          <c:smooth val="0"/>
          <c:extLst>
            <c:ext xmlns:c16="http://schemas.microsoft.com/office/drawing/2014/chart" uri="{C3380CC4-5D6E-409C-BE32-E72D297353CC}">
              <c16:uniqueId val="{00000000-3097-48BF-BAD2-AA31F062235E}"/>
            </c:ext>
          </c:extLst>
        </c:ser>
        <c:ser>
          <c:idx val="1"/>
          <c:order val="1"/>
          <c:tx>
            <c:strRef>
              <c:f>作文結果!$A$93</c:f>
              <c:strCache>
                <c:ptCount val="1"/>
                <c:pt idx="0">
                  <c:v>損益分岐点売上高</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作文結果!$B$91:$G$91</c:f>
              <c:strCache>
                <c:ptCount val="6"/>
                <c:pt idx="0">
                  <c:v>前期実績</c:v>
                </c:pt>
                <c:pt idx="1">
                  <c:v>1年目</c:v>
                </c:pt>
                <c:pt idx="2">
                  <c:v>2年目</c:v>
                </c:pt>
                <c:pt idx="3">
                  <c:v>3年目</c:v>
                </c:pt>
                <c:pt idx="4">
                  <c:v>4年目</c:v>
                </c:pt>
                <c:pt idx="5">
                  <c:v>5年目</c:v>
                </c:pt>
              </c:strCache>
            </c:strRef>
          </c:cat>
          <c:val>
            <c:numRef>
              <c:f>作文結果!$B$93:$G$93</c:f>
              <c:numCache>
                <c:formatCode>#,##0_);[Red]\(#,##0\)</c:formatCode>
                <c:ptCount val="6"/>
                <c:pt idx="0">
                  <c:v>156888200.08548775</c:v>
                </c:pt>
                <c:pt idx="1">
                  <c:v>151526358.81712329</c:v>
                </c:pt>
                <c:pt idx="2">
                  <c:v>150367041.7861256</c:v>
                </c:pt>
                <c:pt idx="3">
                  <c:v>150475727.75778162</c:v>
                </c:pt>
                <c:pt idx="4">
                  <c:v>149497554.01287732</c:v>
                </c:pt>
                <c:pt idx="5">
                  <c:v>148265779.66744223</c:v>
                </c:pt>
              </c:numCache>
            </c:numRef>
          </c:val>
          <c:smooth val="0"/>
          <c:extLst>
            <c:ext xmlns:c16="http://schemas.microsoft.com/office/drawing/2014/chart" uri="{C3380CC4-5D6E-409C-BE32-E72D297353CC}">
              <c16:uniqueId val="{00000001-3097-48BF-BAD2-AA31F062235E}"/>
            </c:ext>
          </c:extLst>
        </c:ser>
        <c:dLbls>
          <c:showLegendKey val="0"/>
          <c:showVal val="1"/>
          <c:showCatName val="0"/>
          <c:showSerName val="0"/>
          <c:showPercent val="0"/>
          <c:showBubbleSize val="0"/>
        </c:dLbls>
        <c:marker val="1"/>
        <c:smooth val="0"/>
        <c:axId val="2132617280"/>
        <c:axId val="1873965616"/>
      </c:lineChart>
      <c:lineChart>
        <c:grouping val="standard"/>
        <c:varyColors val="0"/>
        <c:ser>
          <c:idx val="2"/>
          <c:order val="2"/>
          <c:tx>
            <c:strRef>
              <c:f>作文結果!$A$94</c:f>
              <c:strCache>
                <c:ptCount val="1"/>
                <c:pt idx="0">
                  <c:v>損益分岐点比率</c:v>
                </c:pt>
              </c:strCache>
            </c:strRef>
          </c:tx>
          <c:dLbls>
            <c:dLbl>
              <c:idx val="0"/>
              <c:spPr>
                <a:noFill/>
                <a:ln>
                  <a:noFill/>
                </a:ln>
                <a:effectLst/>
              </c:spPr>
              <c:txPr>
                <a:bodyPr wrap="square" lIns="38100" tIns="19050" rIns="38100" bIns="19050" anchor="ctr">
                  <a:spAutoFit/>
                </a:bodyPr>
                <a:lstStyle/>
                <a:p>
                  <a:pPr>
                    <a:defRPr sz="1600">
                      <a:solidFill>
                        <a:srgbClr val="0000FF"/>
                      </a:solidFill>
                    </a:defRPr>
                  </a:pPr>
                  <a:endParaRPr lang="ja-JP"/>
                </a:p>
              </c:txPr>
              <c:showLegendKey val="0"/>
              <c:showVal val="1"/>
              <c:showCatName val="0"/>
              <c:showSerName val="0"/>
              <c:showPercent val="0"/>
              <c:showBubbleSize val="0"/>
              <c:extLst>
                <c:ext xmlns:c16="http://schemas.microsoft.com/office/drawing/2014/chart" uri="{C3380CC4-5D6E-409C-BE32-E72D297353CC}">
                  <c16:uniqueId val="{00000003-3097-48BF-BAD2-AA31F062235E}"/>
                </c:ext>
              </c:extLst>
            </c:dLbl>
            <c:dLbl>
              <c:idx val="5"/>
              <c:spPr>
                <a:noFill/>
                <a:ln>
                  <a:noFill/>
                </a:ln>
                <a:effectLst/>
              </c:spPr>
              <c:txPr>
                <a:bodyPr wrap="square" lIns="38100" tIns="19050" rIns="38100" bIns="19050" anchor="ctr">
                  <a:spAutoFit/>
                </a:bodyPr>
                <a:lstStyle/>
                <a:p>
                  <a:pPr>
                    <a:defRPr sz="1600">
                      <a:solidFill>
                        <a:srgbClr val="0000FF"/>
                      </a:solidFill>
                    </a:defRPr>
                  </a:pPr>
                  <a:endParaRPr lang="ja-JP"/>
                </a:p>
              </c:txPr>
              <c:showLegendKey val="0"/>
              <c:showVal val="1"/>
              <c:showCatName val="0"/>
              <c:showSerName val="0"/>
              <c:showPercent val="0"/>
              <c:showBubbleSize val="0"/>
              <c:extLst>
                <c:ext xmlns:c16="http://schemas.microsoft.com/office/drawing/2014/chart" uri="{C3380CC4-5D6E-409C-BE32-E72D297353CC}">
                  <c16:uniqueId val="{00000004-3097-48BF-BAD2-AA31F062235E}"/>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作文結果!$B$91:$G$91</c:f>
              <c:strCache>
                <c:ptCount val="6"/>
                <c:pt idx="0">
                  <c:v>前期実績</c:v>
                </c:pt>
                <c:pt idx="1">
                  <c:v>1年目</c:v>
                </c:pt>
                <c:pt idx="2">
                  <c:v>2年目</c:v>
                </c:pt>
                <c:pt idx="3">
                  <c:v>3年目</c:v>
                </c:pt>
                <c:pt idx="4">
                  <c:v>4年目</c:v>
                </c:pt>
                <c:pt idx="5">
                  <c:v>5年目</c:v>
                </c:pt>
              </c:strCache>
            </c:strRef>
          </c:cat>
          <c:val>
            <c:numRef>
              <c:f>作文結果!$B$94:$G$94</c:f>
              <c:numCache>
                <c:formatCode>0.0%</c:formatCode>
                <c:ptCount val="6"/>
                <c:pt idx="0">
                  <c:v>0.31916388657638489</c:v>
                </c:pt>
                <c:pt idx="1">
                  <c:v>0.29697657687145657</c:v>
                </c:pt>
                <c:pt idx="2">
                  <c:v>0.28392032209762957</c:v>
                </c:pt>
                <c:pt idx="3">
                  <c:v>0.27372660716675756</c:v>
                </c:pt>
                <c:pt idx="4">
                  <c:v>0.26199602883383977</c:v>
                </c:pt>
                <c:pt idx="5">
                  <c:v>0.2503263260690578</c:v>
                </c:pt>
              </c:numCache>
            </c:numRef>
          </c:val>
          <c:smooth val="0"/>
          <c:extLst>
            <c:ext xmlns:c16="http://schemas.microsoft.com/office/drawing/2014/chart" uri="{C3380CC4-5D6E-409C-BE32-E72D297353CC}">
              <c16:uniqueId val="{00000002-3097-48BF-BAD2-AA31F062235E}"/>
            </c:ext>
          </c:extLst>
        </c:ser>
        <c:dLbls>
          <c:showLegendKey val="0"/>
          <c:showVal val="0"/>
          <c:showCatName val="0"/>
          <c:showSerName val="0"/>
          <c:showPercent val="0"/>
          <c:showBubbleSize val="0"/>
        </c:dLbls>
        <c:marker val="1"/>
        <c:smooth val="0"/>
        <c:axId val="64563408"/>
        <c:axId val="1870117840"/>
      </c:lineChart>
      <c:catAx>
        <c:axId val="2132617280"/>
        <c:scaling>
          <c:orientation val="minMax"/>
        </c:scaling>
        <c:delete val="0"/>
        <c:axPos val="b"/>
        <c:numFmt formatCode="General" sourceLinked="1"/>
        <c:majorTickMark val="out"/>
        <c:minorTickMark val="none"/>
        <c:tickLblPos val="nextTo"/>
        <c:crossAx val="1873965616"/>
        <c:crosses val="autoZero"/>
        <c:auto val="1"/>
        <c:lblAlgn val="ctr"/>
        <c:lblOffset val="100"/>
        <c:noMultiLvlLbl val="0"/>
      </c:catAx>
      <c:valAx>
        <c:axId val="1873965616"/>
        <c:scaling>
          <c:orientation val="minMax"/>
        </c:scaling>
        <c:delete val="0"/>
        <c:axPos val="l"/>
        <c:majorGridlines/>
        <c:numFmt formatCode="#,##0_);[Red]\(#,##0\)" sourceLinked="1"/>
        <c:majorTickMark val="out"/>
        <c:minorTickMark val="none"/>
        <c:tickLblPos val="nextTo"/>
        <c:crossAx val="2132617280"/>
        <c:crosses val="autoZero"/>
        <c:crossBetween val="between"/>
      </c:valAx>
      <c:valAx>
        <c:axId val="1870117840"/>
        <c:scaling>
          <c:orientation val="minMax"/>
        </c:scaling>
        <c:delete val="0"/>
        <c:axPos val="r"/>
        <c:numFmt formatCode="0.0%" sourceLinked="1"/>
        <c:majorTickMark val="out"/>
        <c:minorTickMark val="none"/>
        <c:tickLblPos val="nextTo"/>
        <c:crossAx val="64563408"/>
        <c:crosses val="max"/>
        <c:crossBetween val="between"/>
      </c:valAx>
      <c:catAx>
        <c:axId val="64563408"/>
        <c:scaling>
          <c:orientation val="minMax"/>
        </c:scaling>
        <c:delete val="1"/>
        <c:axPos val="b"/>
        <c:numFmt formatCode="General" sourceLinked="1"/>
        <c:majorTickMark val="out"/>
        <c:minorTickMark val="none"/>
        <c:tickLblPos val="nextTo"/>
        <c:crossAx val="1870117840"/>
        <c:crosses val="autoZero"/>
        <c:auto val="1"/>
        <c:lblAlgn val="ctr"/>
        <c:lblOffset val="100"/>
        <c:noMultiLvlLbl val="0"/>
      </c:cat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6</xdr:col>
      <xdr:colOff>189040</xdr:colOff>
      <xdr:row>8</xdr:row>
      <xdr:rowOff>143541</xdr:rowOff>
    </xdr:from>
    <xdr:to>
      <xdr:col>6</xdr:col>
      <xdr:colOff>431927</xdr:colOff>
      <xdr:row>12</xdr:row>
      <xdr:rowOff>59846</xdr:rowOff>
    </xdr:to>
    <xdr:sp macro="" textlink="">
      <xdr:nvSpPr>
        <xdr:cNvPr id="2" name="二等辺三角形 1">
          <a:extLst>
            <a:ext uri="{FF2B5EF4-FFF2-40B4-BE49-F238E27FC236}">
              <a16:creationId xmlns:a16="http://schemas.microsoft.com/office/drawing/2014/main" id="{00000000-0008-0000-0000-000002000000}"/>
            </a:ext>
          </a:extLst>
        </xdr:cNvPr>
        <xdr:cNvSpPr/>
      </xdr:nvSpPr>
      <xdr:spPr>
        <a:xfrm rot="5400000">
          <a:off x="4613181" y="3771200"/>
          <a:ext cx="1313305" cy="242887"/>
        </a:xfrm>
        <a:prstGeom prst="triangl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598188</xdr:colOff>
      <xdr:row>1</xdr:row>
      <xdr:rowOff>5116</xdr:rowOff>
    </xdr:from>
    <xdr:to>
      <xdr:col>14</xdr:col>
      <xdr:colOff>147247</xdr:colOff>
      <xdr:row>22</xdr:row>
      <xdr:rowOff>238126</xdr:rowOff>
    </xdr:to>
    <xdr:sp macro="" textlink="">
      <xdr:nvSpPr>
        <xdr:cNvPr id="3" name="四角形: メモ 2">
          <a:extLst>
            <a:ext uri="{FF2B5EF4-FFF2-40B4-BE49-F238E27FC236}">
              <a16:creationId xmlns:a16="http://schemas.microsoft.com/office/drawing/2014/main" id="{00000000-0008-0000-0000-000003000000}"/>
            </a:ext>
          </a:extLst>
        </xdr:cNvPr>
        <xdr:cNvSpPr/>
      </xdr:nvSpPr>
      <xdr:spPr>
        <a:xfrm>
          <a:off x="5557538" y="595666"/>
          <a:ext cx="6616609" cy="7484710"/>
        </a:xfrm>
        <a:prstGeom prst="foldedCorner">
          <a:avLst>
            <a:gd name="adj" fmla="val 12203"/>
          </a:avLst>
        </a:prstGeom>
        <a:noFill/>
        <a:ln w="3810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1100" b="1">
            <a:solidFill>
              <a:sysClr val="windowText" lastClr="000000"/>
            </a:solidFill>
          </a:endParaRPr>
        </a:p>
        <a:p>
          <a:pPr algn="ctr"/>
          <a:r>
            <a:rPr kumimoji="1" lang="ja-JP" altLang="en-US" sz="1400" b="0" u="sng">
              <a:solidFill>
                <a:sysClr val="windowText" lastClr="000000"/>
              </a:solidFill>
            </a:rPr>
            <a:t>製造生産規模推計</a:t>
          </a:r>
          <a:endParaRPr kumimoji="1" lang="en-US" altLang="ja-JP" sz="1400" b="0" u="sng">
            <a:solidFill>
              <a:sysClr val="windowText" lastClr="000000"/>
            </a:solidFill>
          </a:endParaRPr>
        </a:p>
        <a:p>
          <a:pPr algn="ctr"/>
          <a:r>
            <a:rPr kumimoji="1" lang="ja-JP" altLang="en-US" sz="1400" b="0" u="sng">
              <a:solidFill>
                <a:sysClr val="windowText" lastClr="000000"/>
              </a:solidFill>
            </a:rPr>
            <a:t>（数）</a:t>
          </a:r>
          <a:endParaRPr kumimoji="1" lang="en-US" altLang="ja-JP" sz="1400" b="0" u="sng">
            <a:solidFill>
              <a:sysClr val="windowText" lastClr="000000"/>
            </a:solidFill>
          </a:endParaRPr>
        </a:p>
        <a:p>
          <a:pPr algn="ctr"/>
          <a:endParaRPr kumimoji="1" lang="ja-JP" altLang="en-US" sz="1400" b="0" u="sng">
            <a:solidFill>
              <a:sysClr val="windowText" lastClr="000000"/>
            </a:solidFill>
          </a:endParaRPr>
        </a:p>
      </xdr:txBody>
    </xdr:sp>
    <xdr:clientData/>
  </xdr:twoCellAnchor>
  <xdr:twoCellAnchor>
    <xdr:from>
      <xdr:col>14</xdr:col>
      <xdr:colOff>295428</xdr:colOff>
      <xdr:row>8</xdr:row>
      <xdr:rowOff>194710</xdr:rowOff>
    </xdr:from>
    <xdr:to>
      <xdr:col>14</xdr:col>
      <xdr:colOff>538315</xdr:colOff>
      <xdr:row>12</xdr:row>
      <xdr:rowOff>111015</xdr:rowOff>
    </xdr:to>
    <xdr:sp macro="" textlink="">
      <xdr:nvSpPr>
        <xdr:cNvPr id="4" name="二等辺三角形 3">
          <a:extLst>
            <a:ext uri="{FF2B5EF4-FFF2-40B4-BE49-F238E27FC236}">
              <a16:creationId xmlns:a16="http://schemas.microsoft.com/office/drawing/2014/main" id="{00000000-0008-0000-0000-000004000000}"/>
            </a:ext>
          </a:extLst>
        </xdr:cNvPr>
        <xdr:cNvSpPr/>
      </xdr:nvSpPr>
      <xdr:spPr>
        <a:xfrm rot="5400000">
          <a:off x="11787119" y="3822369"/>
          <a:ext cx="1313305" cy="242887"/>
        </a:xfrm>
        <a:prstGeom prst="triangl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621748</xdr:colOff>
      <xdr:row>1</xdr:row>
      <xdr:rowOff>1067</xdr:rowOff>
    </xdr:from>
    <xdr:to>
      <xdr:col>22</xdr:col>
      <xdr:colOff>294492</xdr:colOff>
      <xdr:row>22</xdr:row>
      <xdr:rowOff>234077</xdr:rowOff>
    </xdr:to>
    <xdr:sp macro="" textlink="">
      <xdr:nvSpPr>
        <xdr:cNvPr id="5" name="四角形: メモ 4">
          <a:extLst>
            <a:ext uri="{FF2B5EF4-FFF2-40B4-BE49-F238E27FC236}">
              <a16:creationId xmlns:a16="http://schemas.microsoft.com/office/drawing/2014/main" id="{00000000-0008-0000-0000-000005000000}"/>
            </a:ext>
          </a:extLst>
        </xdr:cNvPr>
        <xdr:cNvSpPr/>
      </xdr:nvSpPr>
      <xdr:spPr>
        <a:xfrm>
          <a:off x="12648648" y="591617"/>
          <a:ext cx="8283344" cy="7484710"/>
        </a:xfrm>
        <a:prstGeom prst="foldedCorner">
          <a:avLst>
            <a:gd name="adj" fmla="val 12203"/>
          </a:avLst>
        </a:prstGeom>
        <a:noFill/>
        <a:ln w="3810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1100" b="1">
            <a:solidFill>
              <a:sysClr val="windowText" lastClr="000000"/>
            </a:solidFill>
          </a:endParaRPr>
        </a:p>
        <a:p>
          <a:pPr algn="ctr"/>
          <a:r>
            <a:rPr kumimoji="1" lang="ja-JP" altLang="en-US" sz="1400" b="0" u="sng">
              <a:solidFill>
                <a:sysClr val="windowText" lastClr="000000"/>
              </a:solidFill>
            </a:rPr>
            <a:t>実収益推計</a:t>
          </a:r>
          <a:endParaRPr kumimoji="1" lang="en-US" altLang="ja-JP" sz="1400" b="0" u="sng">
            <a:solidFill>
              <a:sysClr val="windowText" lastClr="000000"/>
            </a:solidFill>
          </a:endParaRPr>
        </a:p>
        <a:p>
          <a:pPr algn="ctr"/>
          <a:r>
            <a:rPr kumimoji="1" lang="ja-JP" altLang="en-US" sz="1400" b="0" u="sng">
              <a:solidFill>
                <a:sysClr val="windowText" lastClr="000000"/>
              </a:solidFill>
            </a:rPr>
            <a:t>（額）</a:t>
          </a:r>
          <a:endParaRPr kumimoji="1" lang="en-US" altLang="ja-JP" sz="1400" b="0" u="sng">
            <a:solidFill>
              <a:sysClr val="windowText" lastClr="000000"/>
            </a:solidFill>
          </a:endParaRPr>
        </a:p>
        <a:p>
          <a:pPr algn="ctr"/>
          <a:endParaRPr kumimoji="1" lang="ja-JP" altLang="en-US" sz="1400" b="0" u="sng">
            <a:solidFill>
              <a:sysClr val="windowText" lastClr="000000"/>
            </a:solidFill>
          </a:endParaRPr>
        </a:p>
      </xdr:txBody>
    </xdr:sp>
    <xdr:clientData/>
  </xdr:twoCellAnchor>
  <xdr:twoCellAnchor>
    <xdr:from>
      <xdr:col>11</xdr:col>
      <xdr:colOff>1442356</xdr:colOff>
      <xdr:row>9</xdr:row>
      <xdr:rowOff>239275</xdr:rowOff>
    </xdr:from>
    <xdr:to>
      <xdr:col>13</xdr:col>
      <xdr:colOff>40820</xdr:colOff>
      <xdr:row>20</xdr:row>
      <xdr:rowOff>55217</xdr:rowOff>
    </xdr:to>
    <xdr:sp macro=""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2491356" y="3654668"/>
          <a:ext cx="843643" cy="3571513"/>
        </a:xfrm>
        <a:prstGeom prst="roundRect">
          <a:avLst/>
        </a:prstGeom>
        <a:noFill/>
        <a:ln w="38100">
          <a:solidFill>
            <a:srgbClr val="FF535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60369</xdr:colOff>
      <xdr:row>9</xdr:row>
      <xdr:rowOff>228600</xdr:rowOff>
    </xdr:from>
    <xdr:to>
      <xdr:col>20</xdr:col>
      <xdr:colOff>1197429</xdr:colOff>
      <xdr:row>20</xdr:row>
      <xdr:rowOff>115587</xdr:rowOff>
    </xdr:to>
    <xdr:sp macro=""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20743226" y="3643993"/>
          <a:ext cx="1137060" cy="3642558"/>
        </a:xfrm>
        <a:prstGeom prst="roundRect">
          <a:avLst/>
        </a:prstGeom>
        <a:noFill/>
        <a:ln w="38100">
          <a:solidFill>
            <a:srgbClr val="FF535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394607</xdr:colOff>
      <xdr:row>20</xdr:row>
      <xdr:rowOff>55217</xdr:rowOff>
    </xdr:from>
    <xdr:to>
      <xdr:col>20</xdr:col>
      <xdr:colOff>628899</xdr:colOff>
      <xdr:row>20</xdr:row>
      <xdr:rowOff>115587</xdr:rowOff>
    </xdr:to>
    <xdr:cxnSp macro="">
      <xdr:nvCxnSpPr>
        <xdr:cNvPr id="8" name="コネクタ: カギ線 7" descr="補助金導入時の変化">
          <a:extLst>
            <a:ext uri="{FF2B5EF4-FFF2-40B4-BE49-F238E27FC236}">
              <a16:creationId xmlns:a16="http://schemas.microsoft.com/office/drawing/2014/main" id="{00000000-0008-0000-0000-000008000000}"/>
            </a:ext>
          </a:extLst>
        </xdr:cNvPr>
        <xdr:cNvCxnSpPr>
          <a:stCxn id="6" idx="2"/>
          <a:endCxn id="7" idx="2"/>
        </xdr:cNvCxnSpPr>
      </xdr:nvCxnSpPr>
      <xdr:spPr>
        <a:xfrm rot="16200000" flipH="1">
          <a:off x="17082282" y="3057077"/>
          <a:ext cx="60370" cy="8398578"/>
        </a:xfrm>
        <a:prstGeom prst="bentConnector3">
          <a:avLst>
            <a:gd name="adj1" fmla="val 478665"/>
          </a:avLst>
        </a:prstGeom>
        <a:ln w="38100">
          <a:solidFill>
            <a:srgbClr val="FF5353"/>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303696</xdr:colOff>
      <xdr:row>12</xdr:row>
      <xdr:rowOff>266884</xdr:rowOff>
    </xdr:from>
    <xdr:ext cx="184731" cy="26456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11670196" y="475633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oneCellAnchor>
    <xdr:from>
      <xdr:col>15</xdr:col>
      <xdr:colOff>1242392</xdr:colOff>
      <xdr:row>20</xdr:row>
      <xdr:rowOff>193261</xdr:rowOff>
    </xdr:from>
    <xdr:ext cx="2864887" cy="328423"/>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14050342" y="7419561"/>
          <a:ext cx="2864887" cy="328423"/>
        </a:xfrm>
        <a:prstGeom prst="rect">
          <a:avLst/>
        </a:prstGeom>
        <a:solidFill>
          <a:schemeClr val="bg1"/>
        </a:solidFill>
        <a:ln w="38100">
          <a:solidFill>
            <a:srgbClr val="FF5353"/>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補助金導入時の変化がどれくらいなのか？</a:t>
          </a:r>
        </a:p>
      </xdr:txBody>
    </xdr:sp>
    <xdr:clientData/>
  </xdr:oneCellAnchor>
  <xdr:twoCellAnchor>
    <xdr:from>
      <xdr:col>6</xdr:col>
      <xdr:colOff>189040</xdr:colOff>
      <xdr:row>46</xdr:row>
      <xdr:rowOff>214977</xdr:rowOff>
    </xdr:from>
    <xdr:to>
      <xdr:col>6</xdr:col>
      <xdr:colOff>431927</xdr:colOff>
      <xdr:row>50</xdr:row>
      <xdr:rowOff>131282</xdr:rowOff>
    </xdr:to>
    <xdr:sp macro="" textlink="">
      <xdr:nvSpPr>
        <xdr:cNvPr id="11" name="二等辺三角形 10">
          <a:extLst>
            <a:ext uri="{FF2B5EF4-FFF2-40B4-BE49-F238E27FC236}">
              <a16:creationId xmlns:a16="http://schemas.microsoft.com/office/drawing/2014/main" id="{00000000-0008-0000-0000-00000B000000}"/>
            </a:ext>
          </a:extLst>
        </xdr:cNvPr>
        <xdr:cNvSpPr/>
      </xdr:nvSpPr>
      <xdr:spPr>
        <a:xfrm rot="5400000">
          <a:off x="4852894" y="16244186"/>
          <a:ext cx="1297430" cy="242887"/>
        </a:xfrm>
        <a:prstGeom prst="triangl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598188</xdr:colOff>
      <xdr:row>39</xdr:row>
      <xdr:rowOff>5116</xdr:rowOff>
    </xdr:from>
    <xdr:to>
      <xdr:col>14</xdr:col>
      <xdr:colOff>147247</xdr:colOff>
      <xdr:row>60</xdr:row>
      <xdr:rowOff>238126</xdr:rowOff>
    </xdr:to>
    <xdr:sp macro="" textlink="">
      <xdr:nvSpPr>
        <xdr:cNvPr id="12" name="四角形: メモ 11">
          <a:extLst>
            <a:ext uri="{FF2B5EF4-FFF2-40B4-BE49-F238E27FC236}">
              <a16:creationId xmlns:a16="http://schemas.microsoft.com/office/drawing/2014/main" id="{00000000-0008-0000-0000-00000C000000}"/>
            </a:ext>
          </a:extLst>
        </xdr:cNvPr>
        <xdr:cNvSpPr/>
      </xdr:nvSpPr>
      <xdr:spPr>
        <a:xfrm>
          <a:off x="5557538" y="9453916"/>
          <a:ext cx="6616609" cy="7484710"/>
        </a:xfrm>
        <a:prstGeom prst="foldedCorner">
          <a:avLst>
            <a:gd name="adj" fmla="val 12203"/>
          </a:avLst>
        </a:prstGeom>
        <a:noFill/>
        <a:ln w="3810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1100" b="1">
            <a:solidFill>
              <a:sysClr val="windowText" lastClr="000000"/>
            </a:solidFill>
          </a:endParaRPr>
        </a:p>
        <a:p>
          <a:pPr algn="ctr"/>
          <a:r>
            <a:rPr kumimoji="1" lang="ja-JP" altLang="en-US" sz="1400" b="0" u="sng">
              <a:solidFill>
                <a:sysClr val="windowText" lastClr="000000"/>
              </a:solidFill>
            </a:rPr>
            <a:t>製造生産規模推計</a:t>
          </a:r>
          <a:endParaRPr kumimoji="1" lang="en-US" altLang="ja-JP" sz="1400" b="0" u="sng">
            <a:solidFill>
              <a:sysClr val="windowText" lastClr="000000"/>
            </a:solidFill>
          </a:endParaRPr>
        </a:p>
        <a:p>
          <a:pPr algn="ctr"/>
          <a:r>
            <a:rPr kumimoji="1" lang="ja-JP" altLang="en-US" sz="1400" b="0" u="sng">
              <a:solidFill>
                <a:sysClr val="windowText" lastClr="000000"/>
              </a:solidFill>
            </a:rPr>
            <a:t>（数）</a:t>
          </a:r>
          <a:endParaRPr kumimoji="1" lang="en-US" altLang="ja-JP" sz="1400" b="0" u="sng">
            <a:solidFill>
              <a:sysClr val="windowText" lastClr="000000"/>
            </a:solidFill>
          </a:endParaRPr>
        </a:p>
        <a:p>
          <a:pPr algn="ctr"/>
          <a:endParaRPr kumimoji="1" lang="ja-JP" altLang="en-US" sz="1400" b="0" u="sng">
            <a:solidFill>
              <a:sysClr val="windowText" lastClr="000000"/>
            </a:solidFill>
          </a:endParaRPr>
        </a:p>
      </xdr:txBody>
    </xdr:sp>
    <xdr:clientData/>
  </xdr:twoCellAnchor>
  <xdr:twoCellAnchor>
    <xdr:from>
      <xdr:col>14</xdr:col>
      <xdr:colOff>295428</xdr:colOff>
      <xdr:row>46</xdr:row>
      <xdr:rowOff>194710</xdr:rowOff>
    </xdr:from>
    <xdr:to>
      <xdr:col>14</xdr:col>
      <xdr:colOff>538315</xdr:colOff>
      <xdr:row>50</xdr:row>
      <xdr:rowOff>111015</xdr:rowOff>
    </xdr:to>
    <xdr:sp macro="" textlink="">
      <xdr:nvSpPr>
        <xdr:cNvPr id="13" name="二等辺三角形 12">
          <a:extLst>
            <a:ext uri="{FF2B5EF4-FFF2-40B4-BE49-F238E27FC236}">
              <a16:creationId xmlns:a16="http://schemas.microsoft.com/office/drawing/2014/main" id="{00000000-0008-0000-0000-00000D000000}"/>
            </a:ext>
          </a:extLst>
        </xdr:cNvPr>
        <xdr:cNvSpPr/>
      </xdr:nvSpPr>
      <xdr:spPr>
        <a:xfrm rot="5400000">
          <a:off x="11787119" y="12680619"/>
          <a:ext cx="1313305" cy="242887"/>
        </a:xfrm>
        <a:prstGeom prst="triangl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621748</xdr:colOff>
      <xdr:row>39</xdr:row>
      <xdr:rowOff>1067</xdr:rowOff>
    </xdr:from>
    <xdr:to>
      <xdr:col>22</xdr:col>
      <xdr:colOff>294492</xdr:colOff>
      <xdr:row>60</xdr:row>
      <xdr:rowOff>234077</xdr:rowOff>
    </xdr:to>
    <xdr:sp macro="" textlink="">
      <xdr:nvSpPr>
        <xdr:cNvPr id="14" name="四角形: メモ 13">
          <a:extLst>
            <a:ext uri="{FF2B5EF4-FFF2-40B4-BE49-F238E27FC236}">
              <a16:creationId xmlns:a16="http://schemas.microsoft.com/office/drawing/2014/main" id="{00000000-0008-0000-0000-00000E000000}"/>
            </a:ext>
          </a:extLst>
        </xdr:cNvPr>
        <xdr:cNvSpPr/>
      </xdr:nvSpPr>
      <xdr:spPr>
        <a:xfrm>
          <a:off x="12648648" y="9449867"/>
          <a:ext cx="8283344" cy="7484710"/>
        </a:xfrm>
        <a:prstGeom prst="foldedCorner">
          <a:avLst>
            <a:gd name="adj" fmla="val 12203"/>
          </a:avLst>
        </a:prstGeom>
        <a:noFill/>
        <a:ln w="3810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1100" b="1">
            <a:solidFill>
              <a:sysClr val="windowText" lastClr="000000"/>
            </a:solidFill>
          </a:endParaRPr>
        </a:p>
        <a:p>
          <a:pPr algn="ctr"/>
          <a:r>
            <a:rPr kumimoji="1" lang="ja-JP" altLang="en-US" sz="1400" b="0" u="sng">
              <a:solidFill>
                <a:sysClr val="windowText" lastClr="000000"/>
              </a:solidFill>
            </a:rPr>
            <a:t>実収益推計</a:t>
          </a:r>
          <a:endParaRPr kumimoji="1" lang="en-US" altLang="ja-JP" sz="1400" b="0" u="sng">
            <a:solidFill>
              <a:sysClr val="windowText" lastClr="000000"/>
            </a:solidFill>
          </a:endParaRPr>
        </a:p>
        <a:p>
          <a:pPr algn="ctr"/>
          <a:r>
            <a:rPr kumimoji="1" lang="ja-JP" altLang="en-US" sz="1400" b="0" u="sng">
              <a:solidFill>
                <a:sysClr val="windowText" lastClr="000000"/>
              </a:solidFill>
            </a:rPr>
            <a:t>（額）</a:t>
          </a:r>
          <a:endParaRPr kumimoji="1" lang="en-US" altLang="ja-JP" sz="1400" b="0" u="sng">
            <a:solidFill>
              <a:sysClr val="windowText" lastClr="000000"/>
            </a:solidFill>
          </a:endParaRPr>
        </a:p>
        <a:p>
          <a:pPr algn="ctr"/>
          <a:endParaRPr kumimoji="1" lang="ja-JP" altLang="en-US" sz="1400" b="0" u="sng">
            <a:solidFill>
              <a:sysClr val="windowText" lastClr="000000"/>
            </a:solidFill>
          </a:endParaRPr>
        </a:p>
      </xdr:txBody>
    </xdr:sp>
    <xdr:clientData/>
  </xdr:twoCellAnchor>
  <xdr:twoCellAnchor>
    <xdr:from>
      <xdr:col>12</xdr:col>
      <xdr:colOff>40822</xdr:colOff>
      <xdr:row>47</xdr:row>
      <xdr:rowOff>239275</xdr:rowOff>
    </xdr:from>
    <xdr:to>
      <xdr:col>12</xdr:col>
      <xdr:colOff>734786</xdr:colOff>
      <xdr:row>58</xdr:row>
      <xdr:rowOff>55217</xdr:rowOff>
    </xdr:to>
    <xdr:sp macro="" textlink="">
      <xdr:nvSpPr>
        <xdr:cNvPr id="15" name="四角形: 角を丸くする 14">
          <a:extLst>
            <a:ext uri="{FF2B5EF4-FFF2-40B4-BE49-F238E27FC236}">
              <a16:creationId xmlns:a16="http://schemas.microsoft.com/office/drawing/2014/main" id="{00000000-0008-0000-0000-00000F000000}"/>
            </a:ext>
          </a:extLst>
        </xdr:cNvPr>
        <xdr:cNvSpPr/>
      </xdr:nvSpPr>
      <xdr:spPr>
        <a:xfrm>
          <a:off x="12559393" y="16241275"/>
          <a:ext cx="693964" cy="3571513"/>
        </a:xfrm>
        <a:prstGeom prst="roundRect">
          <a:avLst/>
        </a:prstGeom>
        <a:noFill/>
        <a:ln w="38100">
          <a:solidFill>
            <a:srgbClr val="FF535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60369</xdr:colOff>
      <xdr:row>47</xdr:row>
      <xdr:rowOff>215900</xdr:rowOff>
    </xdr:from>
    <xdr:to>
      <xdr:col>20</xdr:col>
      <xdr:colOff>1159564</xdr:colOff>
      <xdr:row>58</xdr:row>
      <xdr:rowOff>115587</xdr:rowOff>
    </xdr:to>
    <xdr:sp macro="" textlink="">
      <xdr:nvSpPr>
        <xdr:cNvPr id="16" name="四角形: 角を丸くする 15">
          <a:extLst>
            <a:ext uri="{FF2B5EF4-FFF2-40B4-BE49-F238E27FC236}">
              <a16:creationId xmlns:a16="http://schemas.microsoft.com/office/drawing/2014/main" id="{00000000-0008-0000-0000-000010000000}"/>
            </a:ext>
          </a:extLst>
        </xdr:cNvPr>
        <xdr:cNvSpPr/>
      </xdr:nvSpPr>
      <xdr:spPr>
        <a:xfrm>
          <a:off x="18786519" y="12503150"/>
          <a:ext cx="1099195" cy="3696987"/>
        </a:xfrm>
        <a:prstGeom prst="roundRect">
          <a:avLst/>
        </a:prstGeom>
        <a:noFill/>
        <a:ln w="38100">
          <a:solidFill>
            <a:srgbClr val="FF535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387803</xdr:colOff>
      <xdr:row>58</xdr:row>
      <xdr:rowOff>55217</xdr:rowOff>
    </xdr:from>
    <xdr:to>
      <xdr:col>20</xdr:col>
      <xdr:colOff>609966</xdr:colOff>
      <xdr:row>58</xdr:row>
      <xdr:rowOff>115587</xdr:rowOff>
    </xdr:to>
    <xdr:cxnSp macro="">
      <xdr:nvCxnSpPr>
        <xdr:cNvPr id="17" name="コネクタ: カギ線 16" descr="補助金導入時の変化">
          <a:extLst>
            <a:ext uri="{FF2B5EF4-FFF2-40B4-BE49-F238E27FC236}">
              <a16:creationId xmlns:a16="http://schemas.microsoft.com/office/drawing/2014/main" id="{00000000-0008-0000-0000-000011000000}"/>
            </a:ext>
          </a:extLst>
        </xdr:cNvPr>
        <xdr:cNvCxnSpPr>
          <a:stCxn id="15" idx="2"/>
          <a:endCxn id="16" idx="2"/>
        </xdr:cNvCxnSpPr>
      </xdr:nvCxnSpPr>
      <xdr:spPr>
        <a:xfrm rot="16200000" flipH="1">
          <a:off x="17069414" y="15649748"/>
          <a:ext cx="60370" cy="8386449"/>
        </a:xfrm>
        <a:prstGeom prst="bentConnector3">
          <a:avLst>
            <a:gd name="adj1" fmla="val 478665"/>
          </a:avLst>
        </a:prstGeom>
        <a:ln w="38100">
          <a:solidFill>
            <a:srgbClr val="FF5353"/>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303696</xdr:colOff>
      <xdr:row>50</xdr:row>
      <xdr:rowOff>266884</xdr:rowOff>
    </xdr:from>
    <xdr:ext cx="184731" cy="264560"/>
    <xdr:sp macro="" textlink="">
      <xdr:nvSpPr>
        <xdr:cNvPr id="18" name="テキスト ボックス 17">
          <a:extLst>
            <a:ext uri="{FF2B5EF4-FFF2-40B4-BE49-F238E27FC236}">
              <a16:creationId xmlns:a16="http://schemas.microsoft.com/office/drawing/2014/main" id="{00000000-0008-0000-0000-000012000000}"/>
            </a:ext>
          </a:extLst>
        </xdr:cNvPr>
        <xdr:cNvSpPr txBox="1"/>
      </xdr:nvSpPr>
      <xdr:spPr>
        <a:xfrm>
          <a:off x="11670196" y="1361458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oneCellAnchor>
    <xdr:from>
      <xdr:col>15</xdr:col>
      <xdr:colOff>1242392</xdr:colOff>
      <xdr:row>58</xdr:row>
      <xdr:rowOff>193261</xdr:rowOff>
    </xdr:from>
    <xdr:ext cx="2864887" cy="328423"/>
    <xdr:sp macro="" textlink="">
      <xdr:nvSpPr>
        <xdr:cNvPr id="19" name="テキスト ボックス 18">
          <a:extLst>
            <a:ext uri="{FF2B5EF4-FFF2-40B4-BE49-F238E27FC236}">
              <a16:creationId xmlns:a16="http://schemas.microsoft.com/office/drawing/2014/main" id="{00000000-0008-0000-0000-000013000000}"/>
            </a:ext>
          </a:extLst>
        </xdr:cNvPr>
        <xdr:cNvSpPr txBox="1"/>
      </xdr:nvSpPr>
      <xdr:spPr>
        <a:xfrm>
          <a:off x="14050342" y="16277811"/>
          <a:ext cx="2864887" cy="328423"/>
        </a:xfrm>
        <a:prstGeom prst="rect">
          <a:avLst/>
        </a:prstGeom>
        <a:solidFill>
          <a:schemeClr val="bg1"/>
        </a:solidFill>
        <a:ln w="38100">
          <a:solidFill>
            <a:srgbClr val="FF5353"/>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補助金導入時の変化がどれくらいなのか？</a:t>
          </a:r>
        </a:p>
      </xdr:txBody>
    </xdr:sp>
    <xdr:clientData/>
  </xdr:oneCellAnchor>
  <xdr:twoCellAnchor>
    <xdr:from>
      <xdr:col>14</xdr:col>
      <xdr:colOff>-1</xdr:colOff>
      <xdr:row>25</xdr:row>
      <xdr:rowOff>285750</xdr:rowOff>
    </xdr:from>
    <xdr:to>
      <xdr:col>14</xdr:col>
      <xdr:colOff>741362</xdr:colOff>
      <xdr:row>36</xdr:row>
      <xdr:rowOff>0</xdr:rowOff>
    </xdr:to>
    <xdr:sp macro="" textlink="">
      <xdr:nvSpPr>
        <xdr:cNvPr id="20" name="矢印: 下 19">
          <a:extLst>
            <a:ext uri="{FF2B5EF4-FFF2-40B4-BE49-F238E27FC236}">
              <a16:creationId xmlns:a16="http://schemas.microsoft.com/office/drawing/2014/main" id="{00000000-0008-0000-0000-000014000000}"/>
            </a:ext>
          </a:extLst>
        </xdr:cNvPr>
        <xdr:cNvSpPr/>
      </xdr:nvSpPr>
      <xdr:spPr>
        <a:xfrm>
          <a:off x="12406312" y="9001125"/>
          <a:ext cx="741363" cy="1738312"/>
        </a:xfrm>
        <a:prstGeom prst="downArrow">
          <a:avLst/>
        </a:prstGeom>
        <a:solidFill>
          <a:srgbClr val="FF5353"/>
        </a:solidFill>
        <a:ln>
          <a:solidFill>
            <a:srgbClr val="FF535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481355</xdr:colOff>
      <xdr:row>63</xdr:row>
      <xdr:rowOff>122462</xdr:rowOff>
    </xdr:from>
    <xdr:to>
      <xdr:col>6</xdr:col>
      <xdr:colOff>81642</xdr:colOff>
      <xdr:row>64</xdr:row>
      <xdr:rowOff>244927</xdr:rowOff>
    </xdr:to>
    <xdr:sp macro="" textlink="">
      <xdr:nvSpPr>
        <xdr:cNvPr id="23" name="二等辺三角形 22">
          <a:extLst>
            <a:ext uri="{FF2B5EF4-FFF2-40B4-BE49-F238E27FC236}">
              <a16:creationId xmlns:a16="http://schemas.microsoft.com/office/drawing/2014/main" id="{00000000-0008-0000-0000-000017000000}"/>
            </a:ext>
          </a:extLst>
        </xdr:cNvPr>
        <xdr:cNvSpPr/>
      </xdr:nvSpPr>
      <xdr:spPr>
        <a:xfrm rot="10800000">
          <a:off x="3719855" y="21485676"/>
          <a:ext cx="2321716" cy="449037"/>
        </a:xfrm>
        <a:prstGeom prst="triangle">
          <a:avLst/>
        </a:prstGeom>
        <a:solidFill>
          <a:srgbClr val="FFFF00"/>
        </a:solidFill>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28575</xdr:colOff>
          <xdr:row>28</xdr:row>
          <xdr:rowOff>28575</xdr:rowOff>
        </xdr:from>
        <xdr:to>
          <xdr:col>5</xdr:col>
          <xdr:colOff>609600</xdr:colOff>
          <xdr:row>28</xdr:row>
          <xdr:rowOff>285750</xdr:rowOff>
        </xdr:to>
        <xdr:sp macro="" textlink="">
          <xdr:nvSpPr>
            <xdr:cNvPr id="1026" name="spn売上"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38100</xdr:rowOff>
        </xdr:from>
        <xdr:to>
          <xdr:col>7</xdr:col>
          <xdr:colOff>1143000</xdr:colOff>
          <xdr:row>28</xdr:row>
          <xdr:rowOff>247650</xdr:rowOff>
        </xdr:to>
        <xdr:sp macro="" textlink="">
          <xdr:nvSpPr>
            <xdr:cNvPr id="1027" name="ScrollBar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86591</xdr:colOff>
      <xdr:row>34</xdr:row>
      <xdr:rowOff>105147</xdr:rowOff>
    </xdr:from>
    <xdr:to>
      <xdr:col>4</xdr:col>
      <xdr:colOff>176893</xdr:colOff>
      <xdr:row>36</xdr:row>
      <xdr:rowOff>217717</xdr:rowOff>
    </xdr:to>
    <xdr:sp macro="" textlink="">
      <xdr:nvSpPr>
        <xdr:cNvPr id="28" name="二等辺三角形 27">
          <a:extLst>
            <a:ext uri="{FF2B5EF4-FFF2-40B4-BE49-F238E27FC236}">
              <a16:creationId xmlns:a16="http://schemas.microsoft.com/office/drawing/2014/main" id="{00000000-0008-0000-0000-00001C000000}"/>
            </a:ext>
          </a:extLst>
        </xdr:cNvPr>
        <xdr:cNvSpPr/>
      </xdr:nvSpPr>
      <xdr:spPr>
        <a:xfrm rot="5400000">
          <a:off x="4470564" y="11900067"/>
          <a:ext cx="656856" cy="90302"/>
        </a:xfrm>
        <a:prstGeom prst="triangle">
          <a:avLst/>
        </a:prstGeom>
        <a:solidFill>
          <a:srgbClr val="FFFF00"/>
        </a:solidFill>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28575</xdr:colOff>
          <xdr:row>29</xdr:row>
          <xdr:rowOff>28575</xdr:rowOff>
        </xdr:from>
        <xdr:to>
          <xdr:col>5</xdr:col>
          <xdr:colOff>609600</xdr:colOff>
          <xdr:row>29</xdr:row>
          <xdr:rowOff>295275</xdr:rowOff>
        </xdr:to>
        <xdr:sp macro="" textlink="">
          <xdr:nvSpPr>
            <xdr:cNvPr id="1031" name="spn原価低減"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30</xdr:row>
          <xdr:rowOff>28575</xdr:rowOff>
        </xdr:from>
        <xdr:to>
          <xdr:col>5</xdr:col>
          <xdr:colOff>609600</xdr:colOff>
          <xdr:row>30</xdr:row>
          <xdr:rowOff>295275</xdr:rowOff>
        </xdr:to>
        <xdr:sp macro="" textlink="">
          <xdr:nvSpPr>
            <xdr:cNvPr id="1032" name="spn増員数"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27</xdr:row>
          <xdr:rowOff>95250</xdr:rowOff>
        </xdr:from>
        <xdr:to>
          <xdr:col>9</xdr:col>
          <xdr:colOff>38100</xdr:colOff>
          <xdr:row>28</xdr:row>
          <xdr:rowOff>285750</xdr:rowOff>
        </xdr:to>
        <xdr:sp macro="" textlink="">
          <xdr:nvSpPr>
            <xdr:cNvPr id="1034" name="cmdReset"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113</xdr:row>
          <xdr:rowOff>104775</xdr:rowOff>
        </xdr:from>
        <xdr:to>
          <xdr:col>3</xdr:col>
          <xdr:colOff>104775</xdr:colOff>
          <xdr:row>117</xdr:row>
          <xdr:rowOff>228600</xdr:rowOff>
        </xdr:to>
        <xdr:sp macro="" textlink="">
          <xdr:nvSpPr>
            <xdr:cNvPr id="1038" name="cmdAutoBunsyo"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0</xdr:colOff>
      <xdr:row>90</xdr:row>
      <xdr:rowOff>346364</xdr:rowOff>
    </xdr:from>
    <xdr:to>
      <xdr:col>16</xdr:col>
      <xdr:colOff>1212272</xdr:colOff>
      <xdr:row>105</xdr:row>
      <xdr:rowOff>51955</xdr:rowOff>
    </xdr:to>
    <xdr:graphicFrame macro="">
      <xdr:nvGraphicFramePr>
        <xdr:cNvPr id="31" name="グラフ 30">
          <a:extLst>
            <a:ext uri="{FF2B5EF4-FFF2-40B4-BE49-F238E27FC236}">
              <a16:creationId xmlns:a16="http://schemas.microsoft.com/office/drawing/2014/main" id="{00000000-0008-0000-0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10</xdr:row>
      <xdr:rowOff>0</xdr:rowOff>
    </xdr:from>
    <xdr:to>
      <xdr:col>9</xdr:col>
      <xdr:colOff>762000</xdr:colOff>
      <xdr:row>13</xdr:row>
      <xdr:rowOff>0</xdr:rowOff>
    </xdr:to>
    <xdr:sp macro="" textlink="">
      <xdr:nvSpPr>
        <xdr:cNvPr id="4255" name="Text Box 159">
          <a:extLst>
            <a:ext uri="{FF2B5EF4-FFF2-40B4-BE49-F238E27FC236}">
              <a16:creationId xmlns:a16="http://schemas.microsoft.com/office/drawing/2014/main" id="{00000000-0008-0000-0100-00009F100000}"/>
            </a:ext>
          </a:extLst>
        </xdr:cNvPr>
        <xdr:cNvSpPr txBox="1">
          <a:spLocks noChangeArrowheads="1"/>
        </xdr:cNvSpPr>
      </xdr:nvSpPr>
      <xdr:spPr bwMode="auto">
        <a:xfrm>
          <a:off x="7124700" y="6248400"/>
          <a:ext cx="762000" cy="714375"/>
        </a:xfrm>
        <a:prstGeom prst="rect">
          <a:avLst/>
        </a:prstGeom>
        <a:solidFill>
          <a:srgbClr val="FFFFFF"/>
        </a:solidFill>
        <a:ln w="9525">
          <a:solidFill>
            <a:srgbClr val="000000"/>
          </a:solidFill>
          <a:miter lim="800000"/>
          <a:headEnd/>
          <a:tailEnd/>
        </a:ln>
      </xdr:spPr>
      <xdr:txBody>
        <a:bodyPr vertOverflow="clip" wrap="square" lIns="27432" tIns="41148" rIns="0" bIns="0" anchor="t" upright="1"/>
        <a:lstStyle/>
        <a:p>
          <a:pPr algn="l" rtl="0">
            <a:defRPr sz="1000"/>
          </a:pPr>
          <a:r>
            <a:rPr lang="ja-JP" altLang="en-US" sz="1100" b="0" i="0" u="none" strike="noStrike" baseline="0">
              <a:solidFill>
                <a:srgbClr val="000000"/>
              </a:solidFill>
              <a:latin typeface="游ゴシック"/>
              <a:ea typeface="游ゴシック"/>
            </a:rPr>
            <a:t>Application.Wait Now + TimeValue("0:00:01")</a:t>
          </a:r>
        </a:p>
      </xdr:txBody>
    </xdr:sp>
    <xdr:clientData/>
  </xdr:twoCellAnchor>
  <xdr:twoCellAnchor>
    <xdr:from>
      <xdr:col>9</xdr:col>
      <xdr:colOff>0</xdr:colOff>
      <xdr:row>86</xdr:row>
      <xdr:rowOff>0</xdr:rowOff>
    </xdr:from>
    <xdr:to>
      <xdr:col>9</xdr:col>
      <xdr:colOff>666750</xdr:colOff>
      <xdr:row>88</xdr:row>
      <xdr:rowOff>123825</xdr:rowOff>
    </xdr:to>
    <xdr:sp macro="" textlink="">
      <xdr:nvSpPr>
        <xdr:cNvPr id="4107" name="Text Box 11">
          <a:extLst>
            <a:ext uri="{FF2B5EF4-FFF2-40B4-BE49-F238E27FC236}">
              <a16:creationId xmlns:a16="http://schemas.microsoft.com/office/drawing/2014/main" id="{00000000-0008-0000-0100-00000B100000}"/>
            </a:ext>
          </a:extLst>
        </xdr:cNvPr>
        <xdr:cNvSpPr txBox="1">
          <a:spLocks noChangeArrowheads="1"/>
        </xdr:cNvSpPr>
      </xdr:nvSpPr>
      <xdr:spPr bwMode="auto">
        <a:xfrm>
          <a:off x="7353300" y="29289375"/>
          <a:ext cx="666750" cy="600075"/>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ja-JP" altLang="en-US" sz="1100" b="0" i="0" u="none" strike="noStrike" baseline="0">
              <a:solidFill>
                <a:srgbClr val="000000"/>
              </a:solidFill>
              <a:latin typeface="游ゴシック"/>
              <a:ea typeface="游ゴシック"/>
            </a:rPr>
            <a:t>済</a:t>
          </a:r>
        </a:p>
      </xdr:txBody>
    </xdr:sp>
    <xdr:clientData/>
  </xdr:twoCellAnchor>
  <xdr:twoCellAnchor editAs="oneCell">
    <xdr:from>
      <xdr:col>9</xdr:col>
      <xdr:colOff>0</xdr:colOff>
      <xdr:row>1</xdr:row>
      <xdr:rowOff>0</xdr:rowOff>
    </xdr:from>
    <xdr:to>
      <xdr:col>12</xdr:col>
      <xdr:colOff>600075</xdr:colOff>
      <xdr:row>4</xdr:row>
      <xdr:rowOff>2019300</xdr:rowOff>
    </xdr:to>
    <xdr:pic>
      <xdr:nvPicPr>
        <xdr:cNvPr id="3" name="Picture 3">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238125"/>
          <a:ext cx="31718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xdr:row>
      <xdr:rowOff>0</xdr:rowOff>
    </xdr:from>
    <xdr:to>
      <xdr:col>12</xdr:col>
      <xdr:colOff>600075</xdr:colOff>
      <xdr:row>21</xdr:row>
      <xdr:rowOff>104775</xdr:rowOff>
    </xdr:to>
    <xdr:pic>
      <xdr:nvPicPr>
        <xdr:cNvPr id="4" name="Picture 4">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53300" y="6419850"/>
          <a:ext cx="31718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45</xdr:row>
      <xdr:rowOff>0</xdr:rowOff>
    </xdr:from>
    <xdr:to>
      <xdr:col>13</xdr:col>
      <xdr:colOff>371475</xdr:colOff>
      <xdr:row>46</xdr:row>
      <xdr:rowOff>152400</xdr:rowOff>
    </xdr:to>
    <xdr:pic>
      <xdr:nvPicPr>
        <xdr:cNvPr id="5" name="Picture 5">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353300" y="15973425"/>
          <a:ext cx="380047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53</xdr:row>
      <xdr:rowOff>0</xdr:rowOff>
    </xdr:from>
    <xdr:to>
      <xdr:col>13</xdr:col>
      <xdr:colOff>371475</xdr:colOff>
      <xdr:row>63</xdr:row>
      <xdr:rowOff>142875</xdr:rowOff>
    </xdr:to>
    <xdr:pic>
      <xdr:nvPicPr>
        <xdr:cNvPr id="6" name="Picture 6">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53300" y="21221700"/>
          <a:ext cx="380047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86</xdr:row>
      <xdr:rowOff>0</xdr:rowOff>
    </xdr:from>
    <xdr:to>
      <xdr:col>16</xdr:col>
      <xdr:colOff>342900</xdr:colOff>
      <xdr:row>97</xdr:row>
      <xdr:rowOff>114300</xdr:rowOff>
    </xdr:to>
    <xdr:pic>
      <xdr:nvPicPr>
        <xdr:cNvPr id="7" name="Picture 7">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353300" y="29289375"/>
          <a:ext cx="6343650"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99</xdr:row>
      <xdr:rowOff>0</xdr:rowOff>
    </xdr:from>
    <xdr:to>
      <xdr:col>16</xdr:col>
      <xdr:colOff>352425</xdr:colOff>
      <xdr:row>113</xdr:row>
      <xdr:rowOff>190500</xdr:rowOff>
    </xdr:to>
    <xdr:pic>
      <xdr:nvPicPr>
        <xdr:cNvPr id="4104" name="Picture 8">
          <a:extLst>
            <a:ext uri="{FF2B5EF4-FFF2-40B4-BE49-F238E27FC236}">
              <a16:creationId xmlns:a16="http://schemas.microsoft.com/office/drawing/2014/main" id="{00000000-0008-0000-0100-000008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353300" y="32385000"/>
          <a:ext cx="6353175"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100011</xdr:colOff>
      <xdr:row>242</xdr:row>
      <xdr:rowOff>3362</xdr:rowOff>
    </xdr:from>
    <xdr:to>
      <xdr:col>8</xdr:col>
      <xdr:colOff>515470</xdr:colOff>
      <xdr:row>261</xdr:row>
      <xdr:rowOff>33618</xdr:rowOff>
    </xdr:to>
    <xdr:graphicFrame macro="">
      <xdr:nvGraphicFramePr>
        <xdr:cNvPr id="2" name="グラフ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280145</xdr:colOff>
      <xdr:row>236</xdr:row>
      <xdr:rowOff>156884</xdr:rowOff>
    </xdr:from>
    <xdr:to>
      <xdr:col>5</xdr:col>
      <xdr:colOff>616323</xdr:colOff>
      <xdr:row>237</xdr:row>
      <xdr:rowOff>123265</xdr:rowOff>
    </xdr:to>
    <xdr:sp macro="" textlink="">
      <xdr:nvSpPr>
        <xdr:cNvPr id="3" name="二等辺三角形 2">
          <a:extLst>
            <a:ext uri="{FF2B5EF4-FFF2-40B4-BE49-F238E27FC236}">
              <a16:creationId xmlns:a16="http://schemas.microsoft.com/office/drawing/2014/main" id="{00000000-0008-0000-0200-000003000000}"/>
            </a:ext>
          </a:extLst>
        </xdr:cNvPr>
        <xdr:cNvSpPr/>
      </xdr:nvSpPr>
      <xdr:spPr>
        <a:xfrm rot="10800000">
          <a:off x="6309470" y="50191709"/>
          <a:ext cx="1336303" cy="137831"/>
        </a:xfrm>
        <a:prstGeom prst="triangle">
          <a:avLst/>
        </a:prstGeom>
        <a:solidFill>
          <a:srgbClr val="FFFF00"/>
        </a:solidFill>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267</xdr:row>
          <xdr:rowOff>47625</xdr:rowOff>
        </xdr:from>
        <xdr:to>
          <xdr:col>3</xdr:col>
          <xdr:colOff>638175</xdr:colOff>
          <xdr:row>267</xdr:row>
          <xdr:rowOff>485775</xdr:rowOff>
        </xdr:to>
        <xdr:sp macro="" textlink="">
          <xdr:nvSpPr>
            <xdr:cNvPr id="2049" name="cmd回収期間"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1692088</xdr:colOff>
      <xdr:row>141</xdr:row>
      <xdr:rowOff>134470</xdr:rowOff>
    </xdr:from>
    <xdr:to>
      <xdr:col>5</xdr:col>
      <xdr:colOff>481853</xdr:colOff>
      <xdr:row>156</xdr:row>
      <xdr:rowOff>156882</xdr:rowOff>
    </xdr:to>
    <xdr:cxnSp macro="">
      <xdr:nvCxnSpPr>
        <xdr:cNvPr id="5" name="直線コネクタ 4">
          <a:extLst>
            <a:ext uri="{FF2B5EF4-FFF2-40B4-BE49-F238E27FC236}">
              <a16:creationId xmlns:a16="http://schemas.microsoft.com/office/drawing/2014/main" id="{00000000-0008-0000-0200-000005000000}"/>
            </a:ext>
          </a:extLst>
        </xdr:cNvPr>
        <xdr:cNvCxnSpPr/>
      </xdr:nvCxnSpPr>
      <xdr:spPr>
        <a:xfrm>
          <a:off x="1692088" y="35959676"/>
          <a:ext cx="5827059" cy="271182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1530723</xdr:colOff>
      <xdr:row>141</xdr:row>
      <xdr:rowOff>89647</xdr:rowOff>
    </xdr:from>
    <xdr:to>
      <xdr:col>5</xdr:col>
      <xdr:colOff>437030</xdr:colOff>
      <xdr:row>155</xdr:row>
      <xdr:rowOff>73958</xdr:rowOff>
    </xdr:to>
    <xdr:cxnSp macro="">
      <xdr:nvCxnSpPr>
        <xdr:cNvPr id="7" name="直線コネクタ 6">
          <a:extLst>
            <a:ext uri="{FF2B5EF4-FFF2-40B4-BE49-F238E27FC236}">
              <a16:creationId xmlns:a16="http://schemas.microsoft.com/office/drawing/2014/main" id="{00000000-0008-0000-0200-000007000000}"/>
            </a:ext>
          </a:extLst>
        </xdr:cNvPr>
        <xdr:cNvCxnSpPr/>
      </xdr:nvCxnSpPr>
      <xdr:spPr>
        <a:xfrm flipV="1">
          <a:off x="1530723" y="35914853"/>
          <a:ext cx="5943601" cy="2494429"/>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112059</xdr:colOff>
      <xdr:row>2</xdr:row>
      <xdr:rowOff>89647</xdr:rowOff>
    </xdr:from>
    <xdr:to>
      <xdr:col>8</xdr:col>
      <xdr:colOff>302559</xdr:colOff>
      <xdr:row>37</xdr:row>
      <xdr:rowOff>161977</xdr:rowOff>
    </xdr:to>
    <xdr:sp macro="" textlink="">
      <xdr:nvSpPr>
        <xdr:cNvPr id="4" name="正方形/長方形 3">
          <a:extLst>
            <a:ext uri="{FF2B5EF4-FFF2-40B4-BE49-F238E27FC236}">
              <a16:creationId xmlns:a16="http://schemas.microsoft.com/office/drawing/2014/main" id="{00000000-0008-0000-0200-000004000000}"/>
            </a:ext>
          </a:extLst>
        </xdr:cNvPr>
        <xdr:cNvSpPr/>
      </xdr:nvSpPr>
      <xdr:spPr>
        <a:xfrm>
          <a:off x="112059" y="381000"/>
          <a:ext cx="10219765" cy="107851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このシートは触らないでください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0</xdr:row>
      <xdr:rowOff>0</xdr:rowOff>
    </xdr:from>
    <xdr:to>
      <xdr:col>12</xdr:col>
      <xdr:colOff>431800</xdr:colOff>
      <xdr:row>11</xdr:row>
      <xdr:rowOff>123825</xdr:rowOff>
    </xdr:to>
    <xdr:graphicFrame macro="">
      <xdr:nvGraphicFramePr>
        <xdr:cNvPr id="10" name="グラフ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12</xdr:col>
      <xdr:colOff>431800</xdr:colOff>
      <xdr:row>20</xdr:row>
      <xdr:rowOff>123825</xdr:rowOff>
    </xdr:to>
    <xdr:graphicFrame macro="">
      <xdr:nvGraphicFramePr>
        <xdr:cNvPr id="11" name="グラフ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21</xdr:row>
      <xdr:rowOff>0</xdr:rowOff>
    </xdr:from>
    <xdr:to>
      <xdr:col>13</xdr:col>
      <xdr:colOff>381000</xdr:colOff>
      <xdr:row>32</xdr:row>
      <xdr:rowOff>123825</xdr:rowOff>
    </xdr:to>
    <xdr:graphicFrame macro="">
      <xdr:nvGraphicFramePr>
        <xdr:cNvPr id="12" name="グラフ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33</xdr:row>
      <xdr:rowOff>0</xdr:rowOff>
    </xdr:from>
    <xdr:to>
      <xdr:col>13</xdr:col>
      <xdr:colOff>381000</xdr:colOff>
      <xdr:row>44</xdr:row>
      <xdr:rowOff>123825</xdr:rowOff>
    </xdr:to>
    <xdr:graphicFrame macro="">
      <xdr:nvGraphicFramePr>
        <xdr:cNvPr id="13" name="グラフ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45</xdr:row>
      <xdr:rowOff>0</xdr:rowOff>
    </xdr:from>
    <xdr:to>
      <xdr:col>17</xdr:col>
      <xdr:colOff>177800</xdr:colOff>
      <xdr:row>56</xdr:row>
      <xdr:rowOff>123825</xdr:rowOff>
    </xdr:to>
    <xdr:graphicFrame macro="">
      <xdr:nvGraphicFramePr>
        <xdr:cNvPr id="14" name="グラフ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ew&#12304;&#12505;&#12540;&#12473;&#12305;5&#12459;&#24180;&#35336;&#31639;&#12471;&#12540;&#12488;_v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計算シート"/>
      <sheetName val="⇒コピペ用"/>
      <sheetName val="商品内訳"/>
      <sheetName val="⇒ コピペ用"/>
      <sheetName val="設定_償却率表"/>
    </sheetNames>
    <sheetDataSet>
      <sheetData sheetId="0" refreshError="1"/>
      <sheetData sheetId="1" refreshError="1"/>
      <sheetData sheetId="2" refreshError="1"/>
      <sheetData sheetId="3" refreshError="1"/>
      <sheetData sheetId="4">
        <row r="3">
          <cell r="A3">
            <v>100</v>
          </cell>
          <cell r="B3">
            <v>0.02</v>
          </cell>
          <cell r="C3">
            <v>0.02</v>
          </cell>
        </row>
        <row r="4">
          <cell r="A4">
            <v>2</v>
          </cell>
          <cell r="B4">
            <v>1</v>
          </cell>
          <cell r="C4" t="str">
            <v>―</v>
          </cell>
        </row>
        <row r="5">
          <cell r="A5">
            <v>3</v>
          </cell>
          <cell r="B5">
            <v>0.66700000000000004</v>
          </cell>
          <cell r="C5">
            <v>1</v>
          </cell>
        </row>
        <row r="6">
          <cell r="A6">
            <v>4</v>
          </cell>
          <cell r="B6">
            <v>0.5</v>
          </cell>
          <cell r="C6">
            <v>1</v>
          </cell>
        </row>
        <row r="7">
          <cell r="A7">
            <v>5</v>
          </cell>
          <cell r="B7">
            <v>0.4</v>
          </cell>
          <cell r="C7">
            <v>0.5</v>
          </cell>
        </row>
        <row r="8">
          <cell r="A8">
            <v>6</v>
          </cell>
          <cell r="B8">
            <v>0.33300000000000002</v>
          </cell>
          <cell r="C8">
            <v>0.33400000000000002</v>
          </cell>
        </row>
        <row r="9">
          <cell r="A9">
            <v>7</v>
          </cell>
          <cell r="B9">
            <v>0.28599999999999998</v>
          </cell>
          <cell r="C9">
            <v>0.33400000000000002</v>
          </cell>
        </row>
        <row r="10">
          <cell r="A10">
            <v>8</v>
          </cell>
          <cell r="B10">
            <v>0.25</v>
          </cell>
          <cell r="C10">
            <v>0.33400000000000002</v>
          </cell>
        </row>
        <row r="11">
          <cell r="A11">
            <v>9</v>
          </cell>
          <cell r="B11">
            <v>0.222</v>
          </cell>
          <cell r="C11">
            <v>0.25</v>
          </cell>
        </row>
        <row r="12">
          <cell r="A12">
            <v>10</v>
          </cell>
          <cell r="B12">
            <v>0.2</v>
          </cell>
          <cell r="C12">
            <v>0.25</v>
          </cell>
        </row>
        <row r="13">
          <cell r="A13">
            <v>11</v>
          </cell>
          <cell r="B13">
            <v>0.182</v>
          </cell>
          <cell r="C13">
            <v>0.2</v>
          </cell>
        </row>
        <row r="14">
          <cell r="A14">
            <v>12</v>
          </cell>
          <cell r="B14">
            <v>0.16700000000000001</v>
          </cell>
          <cell r="C14">
            <v>0.2</v>
          </cell>
        </row>
        <row r="15">
          <cell r="A15">
            <v>13</v>
          </cell>
          <cell r="B15">
            <v>0.154</v>
          </cell>
          <cell r="C15">
            <v>0.16700000000000001</v>
          </cell>
        </row>
        <row r="16">
          <cell r="A16">
            <v>14</v>
          </cell>
          <cell r="B16">
            <v>0.14299999999999999</v>
          </cell>
          <cell r="C16">
            <v>0.16700000000000001</v>
          </cell>
        </row>
        <row r="17">
          <cell r="A17">
            <v>15</v>
          </cell>
          <cell r="B17">
            <v>0.13300000000000001</v>
          </cell>
          <cell r="C17">
            <v>0.14299999999999999</v>
          </cell>
        </row>
        <row r="18">
          <cell r="A18">
            <v>16</v>
          </cell>
          <cell r="B18">
            <v>0.125</v>
          </cell>
          <cell r="C18">
            <v>0.14299999999999999</v>
          </cell>
        </row>
        <row r="19">
          <cell r="A19">
            <v>17</v>
          </cell>
          <cell r="B19">
            <v>0.11799999999999999</v>
          </cell>
          <cell r="C19">
            <v>0.125</v>
          </cell>
        </row>
        <row r="20">
          <cell r="A20">
            <v>18</v>
          </cell>
          <cell r="B20">
            <v>0.111</v>
          </cell>
          <cell r="C20">
            <v>0.112</v>
          </cell>
        </row>
        <row r="21">
          <cell r="A21">
            <v>19</v>
          </cell>
          <cell r="B21">
            <v>0.105</v>
          </cell>
          <cell r="C21">
            <v>0.112</v>
          </cell>
        </row>
        <row r="22">
          <cell r="A22">
            <v>20</v>
          </cell>
          <cell r="B22">
            <v>0.1</v>
          </cell>
          <cell r="C22">
            <v>0.112</v>
          </cell>
        </row>
        <row r="23">
          <cell r="A23">
            <v>21</v>
          </cell>
          <cell r="B23">
            <v>9.5000000000000001E-2</v>
          </cell>
          <cell r="C23">
            <v>0.1</v>
          </cell>
        </row>
        <row r="24">
          <cell r="A24">
            <v>22</v>
          </cell>
          <cell r="B24">
            <v>9.0999999999999998E-2</v>
          </cell>
          <cell r="C24">
            <v>0.1</v>
          </cell>
        </row>
        <row r="25">
          <cell r="A25">
            <v>23</v>
          </cell>
          <cell r="B25">
            <v>8.6999999999999994E-2</v>
          </cell>
          <cell r="C25">
            <v>9.0999999999999998E-2</v>
          </cell>
        </row>
        <row r="26">
          <cell r="A26">
            <v>24</v>
          </cell>
          <cell r="B26">
            <v>8.3000000000000004E-2</v>
          </cell>
          <cell r="C26">
            <v>8.4000000000000005E-2</v>
          </cell>
        </row>
        <row r="27">
          <cell r="A27">
            <v>25</v>
          </cell>
          <cell r="B27">
            <v>0.08</v>
          </cell>
          <cell r="C27">
            <v>8.4000000000000005E-2</v>
          </cell>
        </row>
        <row r="28">
          <cell r="A28">
            <v>26</v>
          </cell>
          <cell r="B28">
            <v>7.6999999999999999E-2</v>
          </cell>
          <cell r="C28">
            <v>8.4000000000000005E-2</v>
          </cell>
        </row>
        <row r="29">
          <cell r="A29">
            <v>27</v>
          </cell>
          <cell r="B29">
            <v>7.3999999999999996E-2</v>
          </cell>
          <cell r="C29">
            <v>7.6999999999999999E-2</v>
          </cell>
        </row>
        <row r="30">
          <cell r="A30">
            <v>28</v>
          </cell>
          <cell r="B30">
            <v>7.0999999999999994E-2</v>
          </cell>
          <cell r="C30">
            <v>7.1999999999999995E-2</v>
          </cell>
        </row>
        <row r="31">
          <cell r="A31">
            <v>29</v>
          </cell>
          <cell r="B31">
            <v>6.9000000000000006E-2</v>
          </cell>
          <cell r="C31">
            <v>7.1999999999999995E-2</v>
          </cell>
        </row>
        <row r="32">
          <cell r="A32">
            <v>30</v>
          </cell>
          <cell r="B32">
            <v>6.7000000000000004E-2</v>
          </cell>
          <cell r="C32">
            <v>7.1999999999999995E-2</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6.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3.bin"/><Relationship Id="rId7" Type="http://schemas.openxmlformats.org/officeDocument/2006/relationships/image" Target="../media/image12.emf"/><Relationship Id="rId2" Type="http://schemas.openxmlformats.org/officeDocument/2006/relationships/hyperlink" Target="http://www.city.yokohama.lg.jp/zaisei/citytax/shizei/pdf/beppyou2-0all.pdf" TargetMode="External"/><Relationship Id="rId1" Type="http://schemas.openxmlformats.org/officeDocument/2006/relationships/hyperlink" Target="https://www.keisan.nta.go.jp/survey/publish/34255/faq/34311/faq_34353.php" TargetMode="External"/><Relationship Id="rId6" Type="http://schemas.openxmlformats.org/officeDocument/2006/relationships/control" Target="../activeX/activeX7.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pageSetUpPr fitToPage="1"/>
  </sheetPr>
  <dimension ref="A1:V116"/>
  <sheetViews>
    <sheetView showGridLines="0" tabSelected="1" zoomScale="70" zoomScaleNormal="70" workbookViewId="0">
      <selection activeCell="F25" sqref="F24:K25"/>
    </sheetView>
  </sheetViews>
  <sheetFormatPr defaultRowHeight="25.5" outlineLevelRow="1"/>
  <cols>
    <col min="1" max="1" width="4.875" customWidth="1"/>
    <col min="2" max="2" width="17.25" customWidth="1"/>
    <col min="3" max="3" width="20.375" customWidth="1"/>
    <col min="4" max="4" width="20.75" style="1" customWidth="1"/>
    <col min="5" max="5" width="15.625" customWidth="1"/>
    <col min="6" max="6" width="13" customWidth="1"/>
    <col min="7" max="7" width="15.375" customWidth="1"/>
    <col min="8" max="8" width="16.75" customWidth="1"/>
    <col min="9" max="9" width="18.625" style="1" customWidth="1"/>
    <col min="11" max="11" width="11" customWidth="1"/>
    <col min="12" max="12" width="19.25" bestFit="1" customWidth="1"/>
    <col min="13" max="13" width="10.125" bestFit="1" customWidth="1"/>
    <col min="15" max="15" width="10.25" customWidth="1"/>
    <col min="16" max="16" width="19" customWidth="1"/>
    <col min="17" max="17" width="22.25" style="10" customWidth="1"/>
    <col min="18" max="18" width="7.625" customWidth="1"/>
    <col min="19" max="19" width="14.75" customWidth="1"/>
    <col min="20" max="20" width="19.375" bestFit="1" customWidth="1"/>
    <col min="21" max="21" width="16.375" style="10" bestFit="1" customWidth="1"/>
  </cols>
  <sheetData>
    <row r="1" spans="2:22" ht="46.5" customHeight="1">
      <c r="B1" s="393" t="s">
        <v>51</v>
      </c>
      <c r="C1" s="393"/>
      <c r="D1" s="393"/>
      <c r="Q1" s="397" t="s">
        <v>50</v>
      </c>
      <c r="R1" s="397"/>
      <c r="S1" s="397"/>
      <c r="T1" s="397"/>
      <c r="U1" s="397"/>
      <c r="V1" s="397"/>
    </row>
    <row r="2" spans="2:22">
      <c r="C2" s="2" t="s">
        <v>19</v>
      </c>
      <c r="D2" s="5">
        <v>49156</v>
      </c>
      <c r="E2" s="394" t="s">
        <v>0</v>
      </c>
      <c r="F2" s="394"/>
      <c r="Q2" s="27"/>
      <c r="R2" s="19"/>
      <c r="S2" s="19"/>
      <c r="T2" s="19"/>
      <c r="U2" s="27"/>
    </row>
    <row r="3" spans="2:22">
      <c r="C3" s="2" t="s">
        <v>20</v>
      </c>
      <c r="D3" s="5">
        <v>6411</v>
      </c>
      <c r="E3" s="394" t="s">
        <v>0</v>
      </c>
      <c r="F3" s="394"/>
      <c r="Q3" s="27"/>
      <c r="R3" s="19"/>
      <c r="S3" s="19"/>
      <c r="T3" s="19"/>
      <c r="U3" s="27"/>
    </row>
    <row r="4" spans="2:22" ht="26.25" thickBot="1">
      <c r="C4" s="2" t="s">
        <v>376</v>
      </c>
      <c r="D4" s="5">
        <v>8661</v>
      </c>
      <c r="E4" s="394" t="s">
        <v>0</v>
      </c>
      <c r="F4" s="394"/>
    </row>
    <row r="5" spans="2:22" ht="38.25" thickBot="1">
      <c r="C5" s="50" t="s">
        <v>375</v>
      </c>
      <c r="D5" s="49">
        <f>(D2-D3-D4)/D2</f>
        <v>0.6933843274473106</v>
      </c>
      <c r="E5" s="48" t="s">
        <v>62</v>
      </c>
      <c r="F5" s="48"/>
      <c r="Q5" s="16" t="s">
        <v>41</v>
      </c>
      <c r="S5" s="16" t="s">
        <v>45</v>
      </c>
      <c r="T5" s="18"/>
      <c r="U5" s="16" t="s">
        <v>49</v>
      </c>
    </row>
    <row r="6" spans="2:22" ht="26.25" thickBot="1">
      <c r="C6" s="2" t="s">
        <v>34</v>
      </c>
      <c r="D6" s="6">
        <v>63</v>
      </c>
      <c r="E6" s="394" t="s">
        <v>1</v>
      </c>
      <c r="F6" s="394"/>
      <c r="H6" t="s">
        <v>2</v>
      </c>
      <c r="I6" s="335">
        <f>TRUNC(D2/D6,1)</f>
        <v>780.2</v>
      </c>
      <c r="J6" t="s">
        <v>0</v>
      </c>
      <c r="P6" s="20" t="s">
        <v>43</v>
      </c>
      <c r="Q6" s="332">
        <f>SUM(D11)</f>
        <v>400</v>
      </c>
      <c r="R6" s="331" t="s">
        <v>42</v>
      </c>
      <c r="S6" s="330">
        <f>SUM(D23)</f>
        <v>260.40999999999997</v>
      </c>
      <c r="T6" s="25" t="s">
        <v>48</v>
      </c>
      <c r="U6" s="324">
        <f>SUM(Q6)-S6</f>
        <v>139.59000000000003</v>
      </c>
    </row>
    <row r="7" spans="2:22" ht="26.25" thickBot="1">
      <c r="H7" t="s">
        <v>18</v>
      </c>
      <c r="P7" s="20" t="s">
        <v>44</v>
      </c>
      <c r="Q7" s="332">
        <f>SUM(D12)</f>
        <v>230</v>
      </c>
      <c r="R7" s="331" t="s">
        <v>42</v>
      </c>
      <c r="S7" s="330">
        <f>SUM(D24)</f>
        <v>135.80000000000001</v>
      </c>
      <c r="T7" s="25" t="s">
        <v>48</v>
      </c>
      <c r="U7" s="324">
        <f>SUM(Q7)-S7</f>
        <v>94.199999999999989</v>
      </c>
    </row>
    <row r="8" spans="2:22">
      <c r="C8" s="2" t="s">
        <v>55</v>
      </c>
      <c r="D8" s="6">
        <v>7</v>
      </c>
      <c r="E8" s="2" t="s">
        <v>3</v>
      </c>
      <c r="F8" s="6">
        <v>3</v>
      </c>
      <c r="H8" t="s">
        <v>5</v>
      </c>
      <c r="I8" s="335">
        <f>TRUNC(D2*D8/10,1)</f>
        <v>34409.199999999997</v>
      </c>
      <c r="J8" t="s">
        <v>0</v>
      </c>
    </row>
    <row r="9" spans="2:22" ht="26.45" customHeight="1">
      <c r="C9" t="s">
        <v>4</v>
      </c>
      <c r="D9" s="10" t="s">
        <v>33</v>
      </c>
      <c r="E9" s="395">
        <f>SUM(D8)*10%</f>
        <v>0.70000000000000007</v>
      </c>
      <c r="F9" s="395"/>
      <c r="H9" t="s">
        <v>6</v>
      </c>
      <c r="I9" s="335">
        <f>TRUNC(D2*F8/10,1)</f>
        <v>14746.8</v>
      </c>
      <c r="J9" t="s">
        <v>0</v>
      </c>
      <c r="U9" s="17"/>
    </row>
    <row r="10" spans="2:22" ht="30" customHeight="1" thickBot="1">
      <c r="C10" t="s">
        <v>28</v>
      </c>
      <c r="D10" s="10" t="s">
        <v>33</v>
      </c>
      <c r="E10" s="392">
        <f>SUM(F8)*10%</f>
        <v>0.30000000000000004</v>
      </c>
      <c r="F10" s="392"/>
      <c r="H10" t="s">
        <v>15</v>
      </c>
      <c r="L10" t="s">
        <v>17</v>
      </c>
      <c r="P10" t="s">
        <v>15</v>
      </c>
      <c r="Q10" s="28"/>
      <c r="T10" t="s">
        <v>17</v>
      </c>
    </row>
    <row r="11" spans="2:22">
      <c r="B11" s="386" t="s">
        <v>41</v>
      </c>
      <c r="C11" s="11" t="s">
        <v>7</v>
      </c>
      <c r="D11" s="8">
        <v>400</v>
      </c>
      <c r="E11" s="387" t="s">
        <v>8</v>
      </c>
      <c r="F11" s="388"/>
      <c r="H11" s="2" t="s">
        <v>10</v>
      </c>
      <c r="I11" s="334">
        <f>TRUNC(I8*10000/D11)</f>
        <v>860230</v>
      </c>
      <c r="J11" s="2" t="s">
        <v>12</v>
      </c>
      <c r="L11" s="2" t="s">
        <v>10</v>
      </c>
      <c r="M11" s="26">
        <f>TRUNC(SUM(I11)/D6)</f>
        <v>13654</v>
      </c>
      <c r="N11" s="2" t="s">
        <v>12</v>
      </c>
      <c r="P11" s="7" t="s">
        <v>46</v>
      </c>
      <c r="Q11" s="29">
        <f>TRUNC(SUM(I11)*U6)</f>
        <v>120079505</v>
      </c>
      <c r="R11" s="21" t="s">
        <v>298</v>
      </c>
      <c r="T11" s="7" t="s">
        <v>46</v>
      </c>
      <c r="U11" s="33">
        <f>TRUNC(SUM(Q11)/D6)</f>
        <v>1906023</v>
      </c>
      <c r="V11" s="21" t="s">
        <v>298</v>
      </c>
    </row>
    <row r="12" spans="2:22" ht="26.25" thickBot="1">
      <c r="B12" s="377"/>
      <c r="C12" s="12" t="s">
        <v>9</v>
      </c>
      <c r="D12" s="9">
        <v>230</v>
      </c>
      <c r="E12" s="389" t="s">
        <v>8</v>
      </c>
      <c r="F12" s="390"/>
      <c r="H12" s="2" t="s">
        <v>11</v>
      </c>
      <c r="I12" s="3">
        <f>TRUNC(I9*10000/D12)</f>
        <v>641165</v>
      </c>
      <c r="J12" s="2" t="s">
        <v>12</v>
      </c>
      <c r="L12" s="2" t="s">
        <v>11</v>
      </c>
      <c r="M12" s="26">
        <f>TRUNC(SUM(I12)/D6)</f>
        <v>10177</v>
      </c>
      <c r="N12" s="2" t="s">
        <v>12</v>
      </c>
      <c r="P12" s="22" t="s">
        <v>47</v>
      </c>
      <c r="Q12" s="30">
        <f>TRUNC(SUM(I12)*U7)</f>
        <v>60397743</v>
      </c>
      <c r="R12" s="23" t="s">
        <v>298</v>
      </c>
      <c r="T12" s="22" t="s">
        <v>47</v>
      </c>
      <c r="U12" s="34">
        <f>TRUNC(SUM(Q12)/D6)</f>
        <v>958694</v>
      </c>
      <c r="V12" s="23" t="s">
        <v>298</v>
      </c>
    </row>
    <row r="13" spans="2:22" ht="27" customHeight="1" thickBot="1">
      <c r="C13" t="s">
        <v>29</v>
      </c>
      <c r="D13" s="10" t="s">
        <v>32</v>
      </c>
      <c r="E13" s="396">
        <v>0.316</v>
      </c>
      <c r="F13" s="396"/>
      <c r="M13" s="10"/>
      <c r="Q13" s="28"/>
      <c r="U13" s="28"/>
    </row>
    <row r="14" spans="2:22" ht="26.25" thickBot="1">
      <c r="B14" s="376" t="s">
        <v>37</v>
      </c>
      <c r="C14" s="11" t="s">
        <v>22</v>
      </c>
      <c r="D14" s="325">
        <f>TRUNC(SUM(D11)*E13*1.05,1)</f>
        <v>132.69999999999999</v>
      </c>
      <c r="E14" s="378" t="s">
        <v>8</v>
      </c>
      <c r="F14" s="379"/>
      <c r="H14" t="s">
        <v>16</v>
      </c>
      <c r="L14" t="s">
        <v>53</v>
      </c>
      <c r="M14" s="10"/>
      <c r="P14" t="s">
        <v>16</v>
      </c>
      <c r="Q14" s="28"/>
      <c r="T14" t="s">
        <v>17</v>
      </c>
      <c r="U14" s="28"/>
    </row>
    <row r="15" spans="2:22" ht="26.25" thickBot="1">
      <c r="B15" s="377"/>
      <c r="C15" s="13" t="s">
        <v>56</v>
      </c>
      <c r="D15" s="326">
        <f>TRUNC(SUM(D12)*E13*0.9,1)</f>
        <v>65.400000000000006</v>
      </c>
      <c r="E15" s="380" t="s">
        <v>8</v>
      </c>
      <c r="F15" s="381"/>
      <c r="H15" s="2" t="s">
        <v>10</v>
      </c>
      <c r="I15" s="4">
        <f>TRUNC(SUM(I11)/12)</f>
        <v>71685</v>
      </c>
      <c r="J15" s="2" t="s">
        <v>13</v>
      </c>
      <c r="L15" s="2" t="s">
        <v>10</v>
      </c>
      <c r="M15" s="26">
        <f>TRUNC(SUM(I15)/D6)</f>
        <v>1137</v>
      </c>
      <c r="N15" s="2" t="s">
        <v>13</v>
      </c>
      <c r="P15" s="7" t="s">
        <v>46</v>
      </c>
      <c r="Q15" s="31">
        <f>TRUNC(SUM(Q11)/12)</f>
        <v>10006625</v>
      </c>
      <c r="R15" s="21" t="s">
        <v>299</v>
      </c>
      <c r="T15" s="7" t="s">
        <v>46</v>
      </c>
      <c r="U15" s="33">
        <f>TRUNC(SUM(Q15)/D6)</f>
        <v>158835</v>
      </c>
      <c r="V15" s="21" t="s">
        <v>299</v>
      </c>
    </row>
    <row r="16" spans="2:22" ht="26.25" thickBot="1">
      <c r="D16" s="327"/>
      <c r="H16" s="2" t="s">
        <v>11</v>
      </c>
      <c r="I16" s="4">
        <f>TRUNC(SUM(I12)/12)</f>
        <v>53430</v>
      </c>
      <c r="J16" s="2" t="s">
        <v>13</v>
      </c>
      <c r="L16" s="2" t="s">
        <v>11</v>
      </c>
      <c r="M16" s="26">
        <f>TRUNC(SUM(I16)/D6)</f>
        <v>848</v>
      </c>
      <c r="N16" s="2" t="s">
        <v>13</v>
      </c>
      <c r="P16" s="22" t="s">
        <v>47</v>
      </c>
      <c r="Q16" s="32">
        <f>TRUNC(SUM(Q12)/12)</f>
        <v>5033145</v>
      </c>
      <c r="R16" s="23" t="s">
        <v>299</v>
      </c>
      <c r="T16" s="22" t="s">
        <v>47</v>
      </c>
      <c r="U16" s="34">
        <f>TRUNC(SUM(Q16)/D6)</f>
        <v>79891</v>
      </c>
      <c r="V16" s="23" t="s">
        <v>299</v>
      </c>
    </row>
    <row r="17" spans="2:22">
      <c r="B17" s="376" t="s">
        <v>38</v>
      </c>
      <c r="C17" s="11" t="s">
        <v>24</v>
      </c>
      <c r="D17" s="325">
        <f>TRUNC(SUM(D3)*D8*0.1*10000/I11,1)*1.1</f>
        <v>57.310000000000009</v>
      </c>
      <c r="E17" s="378" t="s">
        <v>8</v>
      </c>
      <c r="F17" s="379"/>
      <c r="M17" s="10"/>
      <c r="Q17" s="28"/>
      <c r="U17" s="28"/>
    </row>
    <row r="18" spans="2:22" ht="26.25" thickBot="1">
      <c r="B18" s="377"/>
      <c r="C18" s="13" t="s">
        <v>25</v>
      </c>
      <c r="D18" s="326">
        <f>TRUNC(SUM(D3)*F8*0.1*10000/I12,1)</f>
        <v>29.9</v>
      </c>
      <c r="E18" s="380" t="s">
        <v>8</v>
      </c>
      <c r="F18" s="381"/>
      <c r="H18" t="s">
        <v>36</v>
      </c>
      <c r="I18" s="321">
        <v>25</v>
      </c>
      <c r="J18" t="s">
        <v>35</v>
      </c>
      <c r="L18" t="s">
        <v>54</v>
      </c>
      <c r="M18" s="322">
        <f>I18</f>
        <v>25</v>
      </c>
      <c r="P18" t="s">
        <v>36</v>
      </c>
      <c r="Q18" s="323">
        <f>SUM(I18)</f>
        <v>25</v>
      </c>
      <c r="T18" t="s">
        <v>17</v>
      </c>
      <c r="U18" s="323">
        <f>SUM(M18)</f>
        <v>25</v>
      </c>
    </row>
    <row r="19" spans="2:22" ht="26.25" thickBot="1">
      <c r="D19" s="327"/>
      <c r="H19" s="2" t="s">
        <v>10</v>
      </c>
      <c r="I19" s="4">
        <f>TRUNC(SUM(I15)/I18)</f>
        <v>2867</v>
      </c>
      <c r="J19" s="2" t="s">
        <v>14</v>
      </c>
      <c r="L19" s="2" t="s">
        <v>10</v>
      </c>
      <c r="M19" s="26">
        <f>TRUNC(SUM(I19)/D6)</f>
        <v>45</v>
      </c>
      <c r="N19" s="2" t="s">
        <v>14</v>
      </c>
      <c r="P19" s="7" t="s">
        <v>46</v>
      </c>
      <c r="Q19" s="31">
        <f>TRUNC(SUM(Q15)/Q18)</f>
        <v>400265</v>
      </c>
      <c r="R19" s="21" t="s">
        <v>300</v>
      </c>
      <c r="T19" s="7" t="s">
        <v>46</v>
      </c>
      <c r="U19" s="33">
        <f>TRUNC(SUM(Q19)/D6)</f>
        <v>6353</v>
      </c>
      <c r="V19" s="21" t="s">
        <v>300</v>
      </c>
    </row>
    <row r="20" spans="2:22" ht="26.25" thickBot="1">
      <c r="B20" s="376" t="s">
        <v>39</v>
      </c>
      <c r="C20" s="11" t="s">
        <v>26</v>
      </c>
      <c r="D20" s="325">
        <f>TRUNC(SUM(D4)*D8*0.1*10000/I11,1)</f>
        <v>70.400000000000006</v>
      </c>
      <c r="E20" s="378" t="s">
        <v>8</v>
      </c>
      <c r="F20" s="379"/>
      <c r="H20" s="2" t="s">
        <v>11</v>
      </c>
      <c r="I20" s="4">
        <f>TRUNC(SUM(I16)/I18)</f>
        <v>2137</v>
      </c>
      <c r="J20" s="2" t="s">
        <v>14</v>
      </c>
      <c r="L20" s="2" t="s">
        <v>11</v>
      </c>
      <c r="M20" s="26">
        <f>TRUNC(SUM(I20)/D6)</f>
        <v>33</v>
      </c>
      <c r="N20" s="2" t="s">
        <v>14</v>
      </c>
      <c r="P20" s="22" t="s">
        <v>47</v>
      </c>
      <c r="Q20" s="32">
        <f>TRUNC(SUM(Q16)/Q18)</f>
        <v>201325</v>
      </c>
      <c r="R20" s="23" t="s">
        <v>300</v>
      </c>
      <c r="T20" s="22" t="s">
        <v>47</v>
      </c>
      <c r="U20" s="34">
        <f>TRUNC(SUM(Q20)/D6)</f>
        <v>3195</v>
      </c>
      <c r="V20" s="23" t="s">
        <v>300</v>
      </c>
    </row>
    <row r="21" spans="2:22" ht="26.25" thickBot="1">
      <c r="B21" s="377"/>
      <c r="C21" s="13" t="s">
        <v>57</v>
      </c>
      <c r="D21" s="326">
        <f>TRUNC(SUM(D4)*F8*0.1*10000/I12,1)</f>
        <v>40.5</v>
      </c>
      <c r="E21" s="380" t="s">
        <v>8</v>
      </c>
      <c r="F21" s="381"/>
      <c r="U21" s="28"/>
    </row>
    <row r="22" spans="2:22" ht="21.6" customHeight="1" thickBot="1"/>
    <row r="23" spans="2:22">
      <c r="B23" s="376" t="s">
        <v>40</v>
      </c>
      <c r="C23" s="14" t="s">
        <v>30</v>
      </c>
      <c r="D23" s="328">
        <f>SUM(D14)+D17+D20</f>
        <v>260.40999999999997</v>
      </c>
    </row>
    <row r="24" spans="2:22" ht="26.25" thickBot="1">
      <c r="B24" s="377"/>
      <c r="C24" s="15" t="s">
        <v>58</v>
      </c>
      <c r="D24" s="329">
        <f>SUM(D15)+D18+D21</f>
        <v>135.80000000000001</v>
      </c>
    </row>
    <row r="25" spans="2:22">
      <c r="H25" s="19"/>
      <c r="M25" t="s">
        <v>377</v>
      </c>
    </row>
    <row r="26" spans="2:22" ht="18.75" customHeight="1">
      <c r="H26" s="19"/>
      <c r="Q26" s="37"/>
      <c r="U26" s="37"/>
    </row>
    <row r="27" spans="2:22" ht="39" customHeight="1">
      <c r="B27" s="40" t="s">
        <v>61</v>
      </c>
      <c r="C27" s="39"/>
      <c r="D27" s="36"/>
      <c r="F27" s="320" t="str">
        <f>"※本事業は、「"&amp;C83&amp;"」。また回収期間は"&amp; C85 &amp;"(年)である。"</f>
        <v>※本事業は、「投資に値する」。また回収期間は0.11(年)である。</v>
      </c>
      <c r="H27" s="47"/>
      <c r="I27" s="44"/>
      <c r="J27" s="43"/>
      <c r="K27" s="43"/>
      <c r="L27" s="43"/>
      <c r="Q27" s="37"/>
      <c r="U27" s="37"/>
    </row>
    <row r="28" spans="2:22" ht="9" customHeight="1">
      <c r="B28" s="60"/>
      <c r="C28" s="61"/>
      <c r="D28" s="62"/>
      <c r="E28" s="53"/>
      <c r="F28" s="53"/>
      <c r="G28" s="305">
        <v>1.01</v>
      </c>
      <c r="H28" s="306">
        <v>2</v>
      </c>
      <c r="I28" s="58"/>
      <c r="J28" s="56"/>
      <c r="K28" s="56"/>
      <c r="L28" s="56"/>
      <c r="Q28" s="51"/>
      <c r="U28" s="51"/>
    </row>
    <row r="29" spans="2:22">
      <c r="B29" s="53"/>
      <c r="C29" s="63" t="s">
        <v>59</v>
      </c>
      <c r="D29" s="303">
        <v>120</v>
      </c>
      <c r="E29" s="54" t="s">
        <v>293</v>
      </c>
      <c r="F29" s="55"/>
      <c r="G29" s="56"/>
      <c r="H29" s="53"/>
      <c r="I29" s="54"/>
      <c r="J29" s="53"/>
      <c r="K29" s="63" t="s">
        <v>68</v>
      </c>
      <c r="L29" s="76">
        <v>15000000</v>
      </c>
      <c r="M29" t="s">
        <v>303</v>
      </c>
      <c r="Q29" s="37"/>
      <c r="U29" s="37"/>
    </row>
    <row r="30" spans="2:22">
      <c r="B30" s="53"/>
      <c r="C30" s="63" t="s">
        <v>64</v>
      </c>
      <c r="D30" s="311">
        <v>2.5000000000000004</v>
      </c>
      <c r="E30" s="54" t="s">
        <v>293</v>
      </c>
      <c r="F30" s="55"/>
      <c r="G30" s="56"/>
      <c r="H30" s="53"/>
      <c r="I30" s="54"/>
      <c r="J30" s="53"/>
      <c r="K30" s="63" t="s">
        <v>69</v>
      </c>
      <c r="L30" s="76"/>
      <c r="M30" t="s">
        <v>303</v>
      </c>
      <c r="Q30" s="38"/>
      <c r="U30" s="38"/>
    </row>
    <row r="31" spans="2:22" ht="26.25" thickBot="1">
      <c r="B31" s="53"/>
      <c r="C31" s="64" t="s">
        <v>60</v>
      </c>
      <c r="D31" s="312">
        <v>2</v>
      </c>
      <c r="E31" s="54" t="s">
        <v>1</v>
      </c>
      <c r="F31" s="55"/>
      <c r="G31" s="56"/>
      <c r="H31" s="65" t="s">
        <v>7</v>
      </c>
      <c r="I31" s="318">
        <f>D11</f>
        <v>400</v>
      </c>
      <c r="J31" s="59" t="s">
        <v>8</v>
      </c>
      <c r="K31" s="310" t="s">
        <v>70</v>
      </c>
      <c r="L31" s="77"/>
      <c r="M31" t="s">
        <v>303</v>
      </c>
      <c r="Q31" s="37"/>
      <c r="U31" s="37"/>
    </row>
    <row r="32" spans="2:22" ht="26.25" thickTop="1">
      <c r="B32" s="53"/>
      <c r="C32" s="65" t="s">
        <v>374</v>
      </c>
      <c r="D32" s="319">
        <f>D8</f>
        <v>7</v>
      </c>
      <c r="E32" s="57" t="s">
        <v>3</v>
      </c>
      <c r="F32" s="319">
        <f>10-D32</f>
        <v>3</v>
      </c>
      <c r="G32" s="56"/>
      <c r="H32" s="65" t="s">
        <v>9</v>
      </c>
      <c r="I32" s="318">
        <f>D12</f>
        <v>230</v>
      </c>
      <c r="J32" s="59" t="s">
        <v>8</v>
      </c>
      <c r="K32" s="67" t="s">
        <v>71</v>
      </c>
      <c r="L32" s="74">
        <f>SUM(L29:L31)</f>
        <v>15000000</v>
      </c>
      <c r="P32" s="73"/>
      <c r="Q32" s="52"/>
      <c r="U32" s="68" t="s">
        <v>75</v>
      </c>
      <c r="V32" s="68" t="s">
        <v>75</v>
      </c>
    </row>
    <row r="33" spans="2:22" ht="19.5">
      <c r="B33" s="53"/>
      <c r="C33" s="65"/>
      <c r="D33" s="65"/>
      <c r="E33" s="65"/>
      <c r="F33" s="65"/>
      <c r="G33" s="65"/>
      <c r="H33" s="65"/>
      <c r="I33" s="65"/>
      <c r="J33" s="65"/>
      <c r="K33" s="70" t="s">
        <v>76</v>
      </c>
      <c r="L33" s="78" t="s">
        <v>294</v>
      </c>
      <c r="Q33" s="52"/>
      <c r="U33" s="72" t="s">
        <v>77</v>
      </c>
      <c r="V33" s="68"/>
    </row>
    <row r="34" spans="2:22" ht="24">
      <c r="B34" s="53"/>
      <c r="C34" s="315" t="s">
        <v>182</v>
      </c>
      <c r="D34" s="315" t="s">
        <v>184</v>
      </c>
      <c r="E34" s="299"/>
      <c r="F34" s="315" t="s">
        <v>292</v>
      </c>
      <c r="G34" s="65"/>
      <c r="H34" s="65"/>
      <c r="I34" s="65"/>
      <c r="J34" s="53"/>
      <c r="K34" s="75" t="s">
        <v>66</v>
      </c>
      <c r="L34" s="74">
        <f>IF(L32*(IF(L33="2/3",0.666,0.5))&gt;10000000,10000000,TRUNC(L32*(IF(L33="2/3",2/3,0.5))))</f>
        <v>10000000</v>
      </c>
      <c r="U34" s="71" t="s">
        <v>78</v>
      </c>
      <c r="V34" s="69" t="s">
        <v>73</v>
      </c>
    </row>
    <row r="35" spans="2:22" ht="21.75" customHeight="1">
      <c r="B35" s="53"/>
      <c r="C35" s="302" t="s">
        <v>274</v>
      </c>
      <c r="D35" s="300">
        <f>D68</f>
        <v>0.27800000000000002</v>
      </c>
      <c r="E35" s="299"/>
      <c r="F35" s="307" t="str">
        <f>G68</f>
        <v>OK</v>
      </c>
      <c r="G35" s="308"/>
      <c r="H35" s="308"/>
      <c r="I35" s="308"/>
      <c r="J35" s="53"/>
      <c r="K35" s="66" t="s">
        <v>72</v>
      </c>
      <c r="L35" s="79" t="s">
        <v>304</v>
      </c>
      <c r="U35" s="69"/>
      <c r="V35" s="69" t="s">
        <v>74</v>
      </c>
    </row>
    <row r="36" spans="2:22" ht="21.75" customHeight="1">
      <c r="B36" s="53"/>
      <c r="C36" s="302" t="s">
        <v>275</v>
      </c>
      <c r="D36" s="300">
        <f>D69</f>
        <v>0.19800000000000001</v>
      </c>
      <c r="E36" s="301"/>
      <c r="F36" s="307" t="str">
        <f>G69</f>
        <v>OK</v>
      </c>
      <c r="G36" s="308"/>
      <c r="H36" s="308"/>
      <c r="I36" s="308"/>
      <c r="J36" s="59"/>
      <c r="K36" s="75" t="s">
        <v>67</v>
      </c>
      <c r="L36" s="74">
        <f>IF(L35="する",L32-L34,(L32-L34)/10)</f>
        <v>500000</v>
      </c>
      <c r="M36" t="str">
        <f>IF(L35="する","※1年目のみ","※毎年")</f>
        <v>※毎年</v>
      </c>
      <c r="Q36" s="51"/>
      <c r="U36" s="51"/>
    </row>
    <row r="37" spans="2:22" ht="24" customHeight="1">
      <c r="B37" s="53"/>
      <c r="C37" s="302" t="s">
        <v>296</v>
      </c>
      <c r="D37" s="300">
        <f>E73</f>
        <v>0.16198034780818943</v>
      </c>
      <c r="E37" s="53"/>
      <c r="F37" s="307" t="str">
        <f>G73</f>
        <v>OK</v>
      </c>
      <c r="G37" s="53"/>
      <c r="H37" s="53"/>
      <c r="I37" s="53"/>
      <c r="J37" s="53"/>
      <c r="K37" s="53"/>
      <c r="L37" s="53"/>
      <c r="Q37" s="52"/>
      <c r="U37" s="52"/>
    </row>
    <row r="38" spans="2:22" ht="18.75">
      <c r="D38"/>
      <c r="I38"/>
      <c r="Q38" s="52"/>
      <c r="U38" s="52"/>
    </row>
    <row r="39" spans="2:22" ht="46.5" customHeight="1">
      <c r="B39" s="393" t="s">
        <v>52</v>
      </c>
      <c r="C39" s="393"/>
      <c r="D39" s="393"/>
      <c r="Q39" s="397" t="s">
        <v>50</v>
      </c>
      <c r="R39" s="397"/>
      <c r="S39" s="397"/>
      <c r="T39" s="397"/>
      <c r="U39" s="397"/>
      <c r="V39" s="397"/>
    </row>
    <row r="40" spans="2:22">
      <c r="C40" s="35" t="s">
        <v>19</v>
      </c>
      <c r="D40" s="41">
        <f>D2*D29/100</f>
        <v>58987.199999999997</v>
      </c>
      <c r="E40" s="394" t="s">
        <v>0</v>
      </c>
      <c r="F40" s="394"/>
      <c r="Q40" s="27"/>
      <c r="R40" s="19"/>
      <c r="S40" s="19"/>
      <c r="T40" s="19"/>
      <c r="U40" s="27"/>
    </row>
    <row r="41" spans="2:22">
      <c r="C41" s="35" t="s">
        <v>20</v>
      </c>
      <c r="D41" s="41">
        <f>D40*((D3/D2)-D30/100)</f>
        <v>6218.5199999999995</v>
      </c>
      <c r="E41" s="394" t="s">
        <v>0</v>
      </c>
      <c r="F41" s="394"/>
      <c r="Q41" s="27"/>
      <c r="R41" s="19"/>
      <c r="S41" s="19"/>
      <c r="T41" s="19"/>
      <c r="U41" s="27"/>
    </row>
    <row r="42" spans="2:22" ht="26.25" thickBot="1">
      <c r="C42" s="2" t="s">
        <v>21</v>
      </c>
      <c r="D42" s="41">
        <f>D40*(D4/D2)*0.92</f>
        <v>9561.7439999999988</v>
      </c>
      <c r="E42" s="394" t="s">
        <v>0</v>
      </c>
      <c r="F42" s="394"/>
    </row>
    <row r="43" spans="2:22" ht="38.25" thickBot="1">
      <c r="C43" s="50" t="s">
        <v>63</v>
      </c>
      <c r="D43" s="49">
        <f>(D40-D41-D42)/D40</f>
        <v>0.73247986003743193</v>
      </c>
      <c r="E43" s="48" t="s">
        <v>62</v>
      </c>
      <c r="F43" s="48"/>
      <c r="Q43" s="16" t="s">
        <v>41</v>
      </c>
      <c r="S43" s="16" t="s">
        <v>45</v>
      </c>
      <c r="T43" s="18"/>
      <c r="U43" s="16" t="s">
        <v>49</v>
      </c>
    </row>
    <row r="44" spans="2:22" ht="26.25" thickBot="1">
      <c r="C44" s="35" t="s">
        <v>34</v>
      </c>
      <c r="D44" s="42">
        <f>D6+D31</f>
        <v>65</v>
      </c>
      <c r="E44" s="394" t="s">
        <v>1</v>
      </c>
      <c r="F44" s="394"/>
      <c r="H44" t="s">
        <v>2</v>
      </c>
      <c r="I44" s="335">
        <f>TRUNC(D40/D44,1)</f>
        <v>907.4</v>
      </c>
      <c r="J44" t="s">
        <v>0</v>
      </c>
      <c r="P44" s="20" t="s">
        <v>43</v>
      </c>
      <c r="Q44" s="24">
        <f>SUM(D49)</f>
        <v>450</v>
      </c>
      <c r="R44" s="25" t="s">
        <v>42</v>
      </c>
      <c r="S44" s="324">
        <f>SUM(D61)</f>
        <v>271.44000000000005</v>
      </c>
      <c r="T44" s="333" t="s">
        <v>48</v>
      </c>
      <c r="U44" s="324">
        <f>SUM(Q44)-S44</f>
        <v>178.55999999999995</v>
      </c>
    </row>
    <row r="45" spans="2:22" ht="26.25" thickBot="1">
      <c r="H45" t="s">
        <v>18</v>
      </c>
      <c r="I45" s="336"/>
      <c r="P45" s="20" t="s">
        <v>44</v>
      </c>
      <c r="Q45" s="24">
        <f>SUM(D50)</f>
        <v>250</v>
      </c>
      <c r="R45" s="25" t="s">
        <v>42</v>
      </c>
      <c r="S45" s="324">
        <f>SUM(D62)</f>
        <v>136.5</v>
      </c>
      <c r="T45" s="333" t="s">
        <v>48</v>
      </c>
      <c r="U45" s="324">
        <f>SUM(Q45)-S45</f>
        <v>113.5</v>
      </c>
    </row>
    <row r="46" spans="2:22">
      <c r="H46" t="s">
        <v>5</v>
      </c>
      <c r="I46" s="335">
        <f>TRUNC(D40*D32/10,1)</f>
        <v>41291</v>
      </c>
      <c r="J46" t="s">
        <v>0</v>
      </c>
    </row>
    <row r="47" spans="2:22" ht="26.45" customHeight="1">
      <c r="C47" t="s">
        <v>4</v>
      </c>
      <c r="D47" s="10" t="s">
        <v>33</v>
      </c>
      <c r="E47" s="395">
        <f>SUM(D32)*10%</f>
        <v>0.70000000000000007</v>
      </c>
      <c r="F47" s="395"/>
      <c r="H47" t="s">
        <v>6</v>
      </c>
      <c r="I47" s="335">
        <f>TRUNC(D40*F32/10,1)</f>
        <v>17696.099999999999</v>
      </c>
      <c r="J47" t="s">
        <v>0</v>
      </c>
      <c r="U47" s="17"/>
    </row>
    <row r="48" spans="2:22" ht="30" customHeight="1" thickBot="1">
      <c r="C48" t="s">
        <v>28</v>
      </c>
      <c r="D48" s="10" t="s">
        <v>33</v>
      </c>
      <c r="E48" s="392">
        <f>SUM(F32)*10%</f>
        <v>0.30000000000000004</v>
      </c>
      <c r="F48" s="392"/>
      <c r="H48" t="s">
        <v>15</v>
      </c>
      <c r="L48" t="s">
        <v>17</v>
      </c>
      <c r="P48" t="s">
        <v>15</v>
      </c>
      <c r="Q48" s="28"/>
      <c r="T48" t="s">
        <v>17</v>
      </c>
    </row>
    <row r="49" spans="2:22">
      <c r="B49" s="386" t="s">
        <v>41</v>
      </c>
      <c r="C49" s="11" t="s">
        <v>7</v>
      </c>
      <c r="D49" s="45">
        <v>450</v>
      </c>
      <c r="E49" s="387" t="s">
        <v>8</v>
      </c>
      <c r="F49" s="388"/>
      <c r="H49" s="2" t="s">
        <v>10</v>
      </c>
      <c r="I49" s="3">
        <f>TRUNC(I46*10000/D49)</f>
        <v>917577</v>
      </c>
      <c r="J49" s="2" t="s">
        <v>12</v>
      </c>
      <c r="L49" s="2" t="s">
        <v>10</v>
      </c>
      <c r="M49" s="26">
        <f>TRUNC(SUM(I49)/D44)</f>
        <v>14116</v>
      </c>
      <c r="N49" s="2" t="s">
        <v>12</v>
      </c>
      <c r="P49" s="7" t="s">
        <v>46</v>
      </c>
      <c r="Q49" s="29">
        <f>TRUNC(SUM(I49)*U44)</f>
        <v>163842549</v>
      </c>
      <c r="R49" s="21" t="s">
        <v>298</v>
      </c>
      <c r="T49" s="7" t="s">
        <v>46</v>
      </c>
      <c r="U49" s="33">
        <f>TRUNC(SUM(Q49)/D44)</f>
        <v>2520654</v>
      </c>
      <c r="V49" s="21" t="s">
        <v>298</v>
      </c>
    </row>
    <row r="50" spans="2:22" ht="26.25" thickBot="1">
      <c r="B50" s="377"/>
      <c r="C50" s="12" t="s">
        <v>9</v>
      </c>
      <c r="D50" s="46">
        <v>250</v>
      </c>
      <c r="E50" s="389" t="s">
        <v>8</v>
      </c>
      <c r="F50" s="390"/>
      <c r="H50" s="2" t="s">
        <v>11</v>
      </c>
      <c r="I50" s="3">
        <f>TRUNC(I47*10000/D50)</f>
        <v>707844</v>
      </c>
      <c r="J50" s="2" t="s">
        <v>12</v>
      </c>
      <c r="L50" s="2" t="s">
        <v>11</v>
      </c>
      <c r="M50" s="26">
        <f>TRUNC(SUM(I50)/D44)</f>
        <v>10889</v>
      </c>
      <c r="N50" s="2" t="s">
        <v>12</v>
      </c>
      <c r="P50" s="22" t="s">
        <v>47</v>
      </c>
      <c r="Q50" s="30">
        <f>TRUNC(SUM(I50)*U45)</f>
        <v>80340294</v>
      </c>
      <c r="R50" s="23" t="s">
        <v>298</v>
      </c>
      <c r="T50" s="22" t="s">
        <v>47</v>
      </c>
      <c r="U50" s="34">
        <f>TRUNC(SUM(Q50)/D44)</f>
        <v>1236004</v>
      </c>
      <c r="V50" s="23" t="s">
        <v>298</v>
      </c>
    </row>
    <row r="51" spans="2:22" ht="27" customHeight="1" thickBot="1">
      <c r="C51" t="s">
        <v>29</v>
      </c>
      <c r="D51" s="10" t="s">
        <v>32</v>
      </c>
      <c r="E51" s="391">
        <v>0.31</v>
      </c>
      <c r="F51" s="391"/>
      <c r="M51" s="10"/>
      <c r="Q51" s="28"/>
      <c r="U51" s="28"/>
    </row>
    <row r="52" spans="2:22" ht="26.25" thickBot="1">
      <c r="B52" s="376" t="s">
        <v>37</v>
      </c>
      <c r="C52" s="11" t="s">
        <v>22</v>
      </c>
      <c r="D52" s="325">
        <f>TRUNC(SUM(D49)*E51*1.05,1)</f>
        <v>146.4</v>
      </c>
      <c r="E52" s="378" t="s">
        <v>65</v>
      </c>
      <c r="F52" s="379"/>
      <c r="H52" t="s">
        <v>16</v>
      </c>
      <c r="L52" t="s">
        <v>17</v>
      </c>
      <c r="M52" s="10"/>
      <c r="P52" t="s">
        <v>16</v>
      </c>
      <c r="Q52" s="28"/>
      <c r="T52" t="s">
        <v>17</v>
      </c>
      <c r="U52" s="28"/>
    </row>
    <row r="53" spans="2:22" ht="26.25" thickBot="1">
      <c r="B53" s="377"/>
      <c r="C53" s="13" t="s">
        <v>23</v>
      </c>
      <c r="D53" s="326">
        <f>TRUNC(SUM(D50)*E51*0.9,1)</f>
        <v>69.7</v>
      </c>
      <c r="E53" s="380" t="s">
        <v>8</v>
      </c>
      <c r="F53" s="381"/>
      <c r="H53" s="2" t="s">
        <v>10</v>
      </c>
      <c r="I53" s="4">
        <f>TRUNC(SUM(I49)/12)</f>
        <v>76464</v>
      </c>
      <c r="J53" s="2" t="s">
        <v>13</v>
      </c>
      <c r="L53" s="2" t="s">
        <v>10</v>
      </c>
      <c r="M53" s="26">
        <f>TRUNC(SUM(I53)/D44)</f>
        <v>1176</v>
      </c>
      <c r="N53" s="2" t="s">
        <v>13</v>
      </c>
      <c r="P53" s="7" t="s">
        <v>46</v>
      </c>
      <c r="Q53" s="31">
        <f>TRUNC(SUM(Q49)/12)</f>
        <v>13653545</v>
      </c>
      <c r="R53" s="21" t="s">
        <v>299</v>
      </c>
      <c r="T53" s="7" t="s">
        <v>46</v>
      </c>
      <c r="U53" s="33">
        <f>TRUNC(SUM(Q53)/D44)</f>
        <v>210054</v>
      </c>
      <c r="V53" s="21" t="s">
        <v>299</v>
      </c>
    </row>
    <row r="54" spans="2:22" ht="26.25" thickBot="1">
      <c r="D54" s="327"/>
      <c r="H54" s="2" t="s">
        <v>11</v>
      </c>
      <c r="I54" s="4">
        <f>TRUNC(SUM(I50)/12)</f>
        <v>58987</v>
      </c>
      <c r="J54" s="2" t="s">
        <v>13</v>
      </c>
      <c r="L54" s="2" t="s">
        <v>11</v>
      </c>
      <c r="M54" s="26">
        <f>TRUNC(SUM(I54)/D44)</f>
        <v>907</v>
      </c>
      <c r="N54" s="2" t="s">
        <v>13</v>
      </c>
      <c r="P54" s="22" t="s">
        <v>47</v>
      </c>
      <c r="Q54" s="32">
        <f>TRUNC(SUM(Q50)/12)</f>
        <v>6695024</v>
      </c>
      <c r="R54" s="23" t="s">
        <v>299</v>
      </c>
      <c r="T54" s="22" t="s">
        <v>47</v>
      </c>
      <c r="U54" s="34">
        <f>TRUNC(SUM(Q54)/D44)</f>
        <v>103000</v>
      </c>
      <c r="V54" s="23" t="s">
        <v>299</v>
      </c>
    </row>
    <row r="55" spans="2:22">
      <c r="B55" s="376" t="s">
        <v>38</v>
      </c>
      <c r="C55" s="11" t="s">
        <v>24</v>
      </c>
      <c r="D55" s="325">
        <f>TRUNC(SUM(D41)*D32*0.1*10000/I49,1)*1.1</f>
        <v>52.14</v>
      </c>
      <c r="E55" s="378" t="s">
        <v>8</v>
      </c>
      <c r="F55" s="379"/>
      <c r="M55" s="10"/>
      <c r="Q55" s="28"/>
      <c r="U55" s="28"/>
    </row>
    <row r="56" spans="2:22" ht="26.25" thickBot="1">
      <c r="B56" s="377"/>
      <c r="C56" s="13" t="s">
        <v>25</v>
      </c>
      <c r="D56" s="326">
        <f>TRUNC(SUM(D41)*F32*0.1*10000/I50,1)</f>
        <v>26.3</v>
      </c>
      <c r="E56" s="380" t="s">
        <v>8</v>
      </c>
      <c r="F56" s="381"/>
      <c r="H56" t="s">
        <v>36</v>
      </c>
      <c r="I56" s="321">
        <v>25</v>
      </c>
      <c r="J56" t="s">
        <v>35</v>
      </c>
      <c r="L56" t="s">
        <v>17</v>
      </c>
      <c r="M56" s="322">
        <f>I56</f>
        <v>25</v>
      </c>
      <c r="P56" t="s">
        <v>36</v>
      </c>
      <c r="Q56" s="323">
        <f>SUM(I56)</f>
        <v>25</v>
      </c>
      <c r="T56" t="s">
        <v>17</v>
      </c>
      <c r="U56" s="323">
        <f>SUM(M56)</f>
        <v>25</v>
      </c>
    </row>
    <row r="57" spans="2:22" ht="26.25" thickBot="1">
      <c r="D57" s="327"/>
      <c r="H57" s="2" t="s">
        <v>10</v>
      </c>
      <c r="I57" s="4">
        <f>TRUNC(SUM(I53)/I56)</f>
        <v>3058</v>
      </c>
      <c r="J57" s="2" t="s">
        <v>14</v>
      </c>
      <c r="L57" s="2" t="s">
        <v>10</v>
      </c>
      <c r="M57" s="26">
        <f>TRUNC(SUM(I57)/D44)</f>
        <v>47</v>
      </c>
      <c r="N57" s="2" t="s">
        <v>14</v>
      </c>
      <c r="P57" s="7" t="s">
        <v>46</v>
      </c>
      <c r="Q57" s="31">
        <f>TRUNC(SUM(Q53)/Q56)</f>
        <v>546141</v>
      </c>
      <c r="R57" s="21" t="s">
        <v>300</v>
      </c>
      <c r="T57" s="7" t="s">
        <v>46</v>
      </c>
      <c r="U57" s="33">
        <f>TRUNC(SUM(Q57)/D44)</f>
        <v>8402</v>
      </c>
      <c r="V57" s="21" t="s">
        <v>300</v>
      </c>
    </row>
    <row r="58" spans="2:22" ht="26.25" thickBot="1">
      <c r="B58" s="376" t="s">
        <v>39</v>
      </c>
      <c r="C58" s="11" t="s">
        <v>26</v>
      </c>
      <c r="D58" s="325">
        <f>TRUNC(SUM(D42)*D32*0.1*10000/I49,1)</f>
        <v>72.900000000000006</v>
      </c>
      <c r="E58" s="378" t="s">
        <v>8</v>
      </c>
      <c r="F58" s="379"/>
      <c r="H58" s="2" t="s">
        <v>11</v>
      </c>
      <c r="I58" s="4">
        <f>TRUNC(SUM(I54)/I56)</f>
        <v>2359</v>
      </c>
      <c r="J58" s="2" t="s">
        <v>14</v>
      </c>
      <c r="L58" s="2" t="s">
        <v>11</v>
      </c>
      <c r="M58" s="26">
        <f>TRUNC(SUM(I58)/D44)</f>
        <v>36</v>
      </c>
      <c r="N58" s="2" t="s">
        <v>14</v>
      </c>
      <c r="P58" s="22" t="s">
        <v>47</v>
      </c>
      <c r="Q58" s="32">
        <f>TRUNC(SUM(Q54)/Q56)</f>
        <v>267800</v>
      </c>
      <c r="R58" s="23" t="s">
        <v>300</v>
      </c>
      <c r="T58" s="22" t="s">
        <v>47</v>
      </c>
      <c r="U58" s="34">
        <f>TRUNC(SUM(Q58)/D44)</f>
        <v>4120</v>
      </c>
      <c r="V58" s="23" t="s">
        <v>300</v>
      </c>
    </row>
    <row r="59" spans="2:22" ht="26.25" thickBot="1">
      <c r="B59" s="377"/>
      <c r="C59" s="13" t="s">
        <v>27</v>
      </c>
      <c r="D59" s="326">
        <f>TRUNC(SUM(D42)*F32*0.1*10000/I50,1)</f>
        <v>40.5</v>
      </c>
      <c r="E59" s="380" t="s">
        <v>8</v>
      </c>
      <c r="F59" s="381"/>
      <c r="U59" s="28"/>
    </row>
    <row r="60" spans="2:22" ht="21.6" customHeight="1" thickBot="1">
      <c r="D60" s="327"/>
    </row>
    <row r="61" spans="2:22">
      <c r="B61" s="376" t="s">
        <v>40</v>
      </c>
      <c r="C61" s="14" t="s">
        <v>30</v>
      </c>
      <c r="D61" s="328">
        <f>SUM(D52)+D55+D58</f>
        <v>271.44000000000005</v>
      </c>
    </row>
    <row r="62" spans="2:22" ht="26.25" thickBot="1">
      <c r="B62" s="377"/>
      <c r="C62" s="15" t="s">
        <v>31</v>
      </c>
      <c r="D62" s="329">
        <f>SUM(D53)+D56+D59</f>
        <v>136.5</v>
      </c>
    </row>
    <row r="63" spans="2:22">
      <c r="H63" s="19"/>
    </row>
    <row r="65" spans="2:21" ht="45.75" outlineLevel="1">
      <c r="B65" s="393" t="s">
        <v>276</v>
      </c>
      <c r="C65" s="393"/>
      <c r="D65" s="393"/>
    </row>
    <row r="66" spans="2:21" s="287" customFormat="1" outlineLevel="1">
      <c r="B66" s="289" t="s">
        <v>290</v>
      </c>
      <c r="C66" s="286"/>
      <c r="D66" s="286"/>
      <c r="Q66" s="288"/>
      <c r="U66" s="288"/>
    </row>
    <row r="67" spans="2:21" s="80" customFormat="1" ht="20.25" customHeight="1" outlineLevel="1">
      <c r="B67" s="198" t="s">
        <v>182</v>
      </c>
      <c r="C67" s="198" t="s">
        <v>277</v>
      </c>
      <c r="D67" s="198" t="s">
        <v>184</v>
      </c>
      <c r="E67" s="382"/>
      <c r="F67" s="383"/>
      <c r="G67" s="385" t="s">
        <v>289</v>
      </c>
      <c r="H67" s="385"/>
    </row>
    <row r="68" spans="2:21" s="80" customFormat="1" ht="27" customHeight="1" outlineLevel="1">
      <c r="B68" s="199" t="s">
        <v>274</v>
      </c>
      <c r="C68" s="200">
        <v>0.01</v>
      </c>
      <c r="D68" s="201">
        <f>計算ワーク!D122</f>
        <v>0.27800000000000002</v>
      </c>
      <c r="E68" s="382" t="s">
        <v>302</v>
      </c>
      <c r="F68" s="383"/>
      <c r="G68" s="384" t="str">
        <f>計算ワーク!E122</f>
        <v>OK</v>
      </c>
      <c r="H68" s="384"/>
      <c r="I68" s="314" t="s">
        <v>278</v>
      </c>
    </row>
    <row r="69" spans="2:21" s="80" customFormat="1" ht="27" customHeight="1" outlineLevel="1">
      <c r="B69" s="204" t="s">
        <v>275</v>
      </c>
      <c r="C69" s="200">
        <v>0.03</v>
      </c>
      <c r="D69" s="201">
        <f>計算ワーク!D123</f>
        <v>0.19800000000000001</v>
      </c>
      <c r="E69" s="382" t="s">
        <v>302</v>
      </c>
      <c r="F69" s="383"/>
      <c r="G69" s="384" t="str">
        <f>計算ワーク!E123</f>
        <v>OK</v>
      </c>
      <c r="H69" s="384"/>
      <c r="I69" s="314" t="s">
        <v>279</v>
      </c>
    </row>
    <row r="70" spans="2:21" outlineLevel="1">
      <c r="B70" s="203"/>
    </row>
    <row r="71" spans="2:21" outlineLevel="1">
      <c r="B71" s="289" t="s">
        <v>287</v>
      </c>
    </row>
    <row r="72" spans="2:21" outlineLevel="1">
      <c r="B72" s="80"/>
      <c r="C72" s="198" t="s">
        <v>230</v>
      </c>
      <c r="D72" s="198" t="s">
        <v>281</v>
      </c>
      <c r="E72" s="385" t="s">
        <v>232</v>
      </c>
      <c r="F72" s="385"/>
      <c r="G72" s="385" t="s">
        <v>297</v>
      </c>
      <c r="H72" s="385"/>
    </row>
    <row r="73" spans="2:21" ht="36.75" customHeight="1" outlineLevel="1">
      <c r="B73" s="290" t="s">
        <v>280</v>
      </c>
      <c r="C73" s="242">
        <f>計算ワーク!C202</f>
        <v>5325004</v>
      </c>
      <c r="D73" s="242">
        <f>計算ワーク!D202</f>
        <v>6187550</v>
      </c>
      <c r="E73" s="413">
        <f>計算ワーク!E202</f>
        <v>0.16198034780818943</v>
      </c>
      <c r="F73" s="413"/>
      <c r="G73" s="384" t="str">
        <f>計算ワーク!F202</f>
        <v>OK</v>
      </c>
      <c r="H73" s="384"/>
      <c r="J73" s="374" t="s">
        <v>346</v>
      </c>
      <c r="K73" s="375"/>
      <c r="L73" s="351">
        <v>195862263</v>
      </c>
    </row>
    <row r="74" spans="2:21" outlineLevel="1"/>
    <row r="75" spans="2:21" outlineLevel="1">
      <c r="B75" s="289" t="s">
        <v>288</v>
      </c>
    </row>
    <row r="76" spans="2:21" ht="28.5" customHeight="1" outlineLevel="1">
      <c r="B76" s="237"/>
      <c r="C76" s="165" t="s">
        <v>225</v>
      </c>
      <c r="D76" s="165" t="s">
        <v>118</v>
      </c>
      <c r="E76" s="411" t="s">
        <v>119</v>
      </c>
      <c r="F76" s="411"/>
      <c r="G76" s="165" t="s">
        <v>120</v>
      </c>
      <c r="H76" s="165" t="s">
        <v>121</v>
      </c>
      <c r="I76" s="165" t="s">
        <v>122</v>
      </c>
      <c r="J76" s="165" t="s">
        <v>226</v>
      </c>
    </row>
    <row r="77" spans="2:21" ht="28.5" customHeight="1" outlineLevel="1">
      <c r="B77" s="218" t="s">
        <v>212</v>
      </c>
      <c r="C77" s="226">
        <f>計算ワーク!C184</f>
        <v>491560000</v>
      </c>
      <c r="D77" s="226">
        <f>計算ワーク!D184</f>
        <v>511220000</v>
      </c>
      <c r="E77" s="410">
        <f>計算ワーク!E184</f>
        <v>531660000</v>
      </c>
      <c r="F77" s="410"/>
      <c r="G77" s="226">
        <f>計算ワーク!F184</f>
        <v>552920000</v>
      </c>
      <c r="H77" s="226">
        <f>計算ワーク!G184</f>
        <v>575030000</v>
      </c>
      <c r="I77" s="226">
        <f>計算ワーク!H184</f>
        <v>598030000</v>
      </c>
      <c r="J77" s="218"/>
    </row>
    <row r="78" spans="2:21" ht="28.5" customHeight="1" outlineLevel="1">
      <c r="B78" s="218" t="s">
        <v>220</v>
      </c>
      <c r="C78" s="226">
        <f>計算ワーク!C185</f>
        <v>156888200.08548775</v>
      </c>
      <c r="D78" s="226">
        <f>計算ワーク!D185</f>
        <v>151508244.48851398</v>
      </c>
      <c r="E78" s="410">
        <f>計算ワーク!E185</f>
        <v>150294584.47168824</v>
      </c>
      <c r="F78" s="410"/>
      <c r="G78" s="226">
        <f>計算ワーク!F185</f>
        <v>150348927.45751625</v>
      </c>
      <c r="H78" s="226">
        <f>計算ワーク!G185</f>
        <v>149280182.06956524</v>
      </c>
      <c r="I78" s="226">
        <f>計算ワーク!H185</f>
        <v>147994064.73830214</v>
      </c>
      <c r="J78" s="218"/>
    </row>
    <row r="79" spans="2:21" ht="28.5" customHeight="1" outlineLevel="1">
      <c r="B79" s="218" t="s">
        <v>221</v>
      </c>
      <c r="C79" s="317">
        <f>計算ワーク!C186</f>
        <v>0.31916388657638489</v>
      </c>
      <c r="D79" s="317">
        <f>計算ワーク!D186</f>
        <v>0.29636603514830012</v>
      </c>
      <c r="E79" s="412">
        <f>計算ワーク!E186</f>
        <v>0.28268928351143258</v>
      </c>
      <c r="F79" s="412"/>
      <c r="G79" s="317">
        <f>計算ワーク!F186</f>
        <v>0.27191804864630736</v>
      </c>
      <c r="H79" s="317">
        <f>計算ワーク!G186</f>
        <v>0.25960416338202397</v>
      </c>
      <c r="I79" s="317">
        <f>計算ワーク!H186</f>
        <v>0.24746929876143695</v>
      </c>
      <c r="J79" s="218"/>
      <c r="K79" s="313" t="s">
        <v>295</v>
      </c>
    </row>
    <row r="80" spans="2:21" outlineLevel="1"/>
    <row r="81" spans="1:21" outlineLevel="1">
      <c r="B81" s="289" t="s">
        <v>282</v>
      </c>
      <c r="D81" s="297" t="s">
        <v>301</v>
      </c>
    </row>
    <row r="82" spans="1:21" ht="26.25" outlineLevel="1" thickBot="1">
      <c r="B82" s="289"/>
      <c r="Q82" s="52"/>
      <c r="U82" s="52"/>
    </row>
    <row r="83" spans="1:21" ht="26.25" outlineLevel="1" thickBot="1">
      <c r="B83" s="271" t="s">
        <v>284</v>
      </c>
      <c r="C83" s="294" t="str">
        <f>IF(C101&gt;ABS(C102),"投資に値する","投資に値しない")</f>
        <v>投資に値する</v>
      </c>
      <c r="Q83" s="52"/>
      <c r="U83" s="52"/>
    </row>
    <row r="84" spans="1:21" ht="26.25" outlineLevel="1" thickBot="1">
      <c r="B84" s="289"/>
      <c r="Q84" s="52"/>
      <c r="U84" s="52"/>
    </row>
    <row r="85" spans="1:21" ht="26.25" outlineLevel="1" thickBot="1">
      <c r="B85" s="271" t="s">
        <v>285</v>
      </c>
      <c r="C85" s="295">
        <v>0.11</v>
      </c>
      <c r="D85" s="296" t="s">
        <v>283</v>
      </c>
      <c r="G85" s="1"/>
      <c r="I85"/>
      <c r="O85" s="52"/>
      <c r="Q85"/>
      <c r="S85" s="52"/>
      <c r="U85"/>
    </row>
    <row r="86" spans="1:21" outlineLevel="1">
      <c r="B86" s="289"/>
      <c r="Q86" s="52"/>
      <c r="U86" s="52"/>
    </row>
    <row r="87" spans="1:21" outlineLevel="1">
      <c r="B87" s="289"/>
      <c r="Q87" s="52"/>
      <c r="U87" s="52"/>
    </row>
    <row r="88" spans="1:21" outlineLevel="1">
      <c r="B88" s="298" t="s">
        <v>239</v>
      </c>
      <c r="C88" s="292">
        <v>0.27800000000000002</v>
      </c>
      <c r="Q88" s="52"/>
      <c r="U88" s="52"/>
    </row>
    <row r="89" spans="1:21" outlineLevel="1">
      <c r="B89" s="291" t="s">
        <v>247</v>
      </c>
      <c r="C89" s="293">
        <v>0.1</v>
      </c>
      <c r="Q89" s="52"/>
      <c r="U89" s="52"/>
    </row>
    <row r="90" spans="1:21" outlineLevel="1">
      <c r="B90" s="289"/>
      <c r="Q90" s="52"/>
      <c r="U90" s="52"/>
    </row>
    <row r="91" spans="1:21" s="245" customFormat="1" ht="30" outlineLevel="1">
      <c r="A91" s="246"/>
      <c r="B91" s="245" t="s">
        <v>286</v>
      </c>
      <c r="C91" s="245" t="s">
        <v>291</v>
      </c>
    </row>
    <row r="92" spans="1:21" s="245" customFormat="1" ht="18.75" outlineLevel="1">
      <c r="B92" s="256"/>
      <c r="C92" s="257" t="s">
        <v>249</v>
      </c>
      <c r="D92" s="257" t="s">
        <v>250</v>
      </c>
      <c r="E92" s="257" t="s">
        <v>251</v>
      </c>
      <c r="F92" s="257" t="s">
        <v>252</v>
      </c>
      <c r="G92" s="257" t="s">
        <v>253</v>
      </c>
      <c r="H92" s="258" t="s">
        <v>254</v>
      </c>
    </row>
    <row r="93" spans="1:21" s="245" customFormat="1" ht="18.75" outlineLevel="1">
      <c r="B93" s="259" t="s">
        <v>255</v>
      </c>
      <c r="C93" s="407"/>
      <c r="D93" s="260">
        <f>計算ワーク!D22</f>
        <v>198580000</v>
      </c>
      <c r="E93" s="260">
        <f>計算ワーク!E22</f>
        <v>210540000</v>
      </c>
      <c r="F93" s="260">
        <f>計算ワーク!F22</f>
        <v>222240000</v>
      </c>
      <c r="G93" s="260">
        <f>計算ワーク!G22</f>
        <v>235040000</v>
      </c>
      <c r="H93" s="260">
        <f>計算ワーク!H22</f>
        <v>248450000</v>
      </c>
    </row>
    <row r="94" spans="1:21" s="245" customFormat="1" ht="18.75" outlineLevel="1">
      <c r="B94" s="259" t="s">
        <v>256</v>
      </c>
      <c r="C94" s="408"/>
      <c r="D94" s="260">
        <f>D93*(1-$C$88)</f>
        <v>143374760</v>
      </c>
      <c r="E94" s="260">
        <f>E93*(1-$C$88)</f>
        <v>152009880</v>
      </c>
      <c r="F94" s="260">
        <f>F93*(1-$C$88)</f>
        <v>160457280</v>
      </c>
      <c r="G94" s="260">
        <f>G93*(1-$C$88)</f>
        <v>169698880</v>
      </c>
      <c r="H94" s="260">
        <f>H93*(1-$C$88)</f>
        <v>179380900</v>
      </c>
    </row>
    <row r="95" spans="1:21" s="245" customFormat="1" ht="18.75" outlineLevel="1">
      <c r="B95" s="259" t="s">
        <v>257</v>
      </c>
      <c r="C95" s="408"/>
      <c r="D95" s="260">
        <f>計算ワーク!D28</f>
        <v>3750000</v>
      </c>
      <c r="E95" s="260">
        <f>計算ワーク!E28</f>
        <v>2812500</v>
      </c>
      <c r="F95" s="260">
        <f>計算ワーク!F28</f>
        <v>2531250</v>
      </c>
      <c r="G95" s="260">
        <f>計算ワーク!G28</f>
        <v>1476562</v>
      </c>
      <c r="H95" s="260">
        <f>計算ワーク!H28</f>
        <v>1107422</v>
      </c>
    </row>
    <row r="96" spans="1:21" s="245" customFormat="1" ht="18.75" outlineLevel="1">
      <c r="B96" s="263" t="s">
        <v>258</v>
      </c>
      <c r="C96" s="408"/>
      <c r="D96" s="264">
        <f>D95*$C$88</f>
        <v>1042500.0000000001</v>
      </c>
      <c r="E96" s="264">
        <f>E95*$C$88</f>
        <v>781875.00000000012</v>
      </c>
      <c r="F96" s="264">
        <f>F95*$C$88</f>
        <v>703687.50000000012</v>
      </c>
      <c r="G96" s="264">
        <f>G95*$C$88</f>
        <v>410484.23600000003</v>
      </c>
      <c r="H96" s="264">
        <f>H95*$C$88</f>
        <v>307863.31600000005</v>
      </c>
    </row>
    <row r="97" spans="2:9" s="245" customFormat="1" ht="18.75" outlineLevel="1">
      <c r="B97" s="265" t="s">
        <v>259</v>
      </c>
      <c r="C97" s="408"/>
      <c r="D97" s="266">
        <f>D94+D96</f>
        <v>144417260</v>
      </c>
      <c r="E97" s="266">
        <f>E94+E96</f>
        <v>152791755</v>
      </c>
      <c r="F97" s="266">
        <f>F94+F96</f>
        <v>161160967.5</v>
      </c>
      <c r="G97" s="266">
        <f>G94+G96</f>
        <v>170109364.236</v>
      </c>
      <c r="H97" s="266">
        <f>H94+H96</f>
        <v>179688763.31600001</v>
      </c>
    </row>
    <row r="98" spans="2:9" s="245" customFormat="1" ht="18.75" outlineLevel="1">
      <c r="B98" s="259" t="s">
        <v>260</v>
      </c>
      <c r="C98" s="409"/>
      <c r="D98" s="267">
        <f>TRUNC(POWER(1+$C$89,-1),3)</f>
        <v>0.90900000000000003</v>
      </c>
      <c r="E98" s="267">
        <f>TRUNC(POWER(1+$C$89,-2),3)</f>
        <v>0.82599999999999996</v>
      </c>
      <c r="F98" s="267">
        <f>TRUNC(POWER(1+$C$89,-3),3)</f>
        <v>0.751</v>
      </c>
      <c r="G98" s="267">
        <f>TRUNC(POWER(1+$C$89,-4),3)</f>
        <v>0.68300000000000005</v>
      </c>
      <c r="H98" s="267">
        <f>TRUNC(POWER(1+$C$89,-5),3)</f>
        <v>0.62</v>
      </c>
    </row>
    <row r="99" spans="2:9" s="245" customFormat="1" ht="18.75" outlineLevel="1">
      <c r="B99" s="259" t="s">
        <v>261</v>
      </c>
      <c r="C99" s="268">
        <f>SUM(D99:H99)</f>
        <v>603511726</v>
      </c>
      <c r="D99" s="260">
        <f>TRUNC(D94*D98)</f>
        <v>130327656</v>
      </c>
      <c r="E99" s="260">
        <f>TRUNC(E94*E98)</f>
        <v>125560160</v>
      </c>
      <c r="F99" s="260">
        <f>TRUNC(F94*F98)</f>
        <v>120503417</v>
      </c>
      <c r="G99" s="260">
        <f>TRUNC(G94*G98)</f>
        <v>115904335</v>
      </c>
      <c r="H99" s="260">
        <f>TRUNC(H94*H98)</f>
        <v>111216158</v>
      </c>
    </row>
    <row r="100" spans="2:9" s="245" customFormat="1" ht="18.75" outlineLevel="1">
      <c r="B100" s="259" t="s">
        <v>262</v>
      </c>
      <c r="C100" s="268">
        <f>SUM(D100:H100)</f>
        <v>2593164</v>
      </c>
      <c r="D100" s="269">
        <f>TRUNC(D96*D98)</f>
        <v>947632</v>
      </c>
      <c r="E100" s="269">
        <f>TRUNC(E96*E98)</f>
        <v>645828</v>
      </c>
      <c r="F100" s="269">
        <f>TRUNC(F96*F98)</f>
        <v>528469</v>
      </c>
      <c r="G100" s="269">
        <f>TRUNC(G96*G98)</f>
        <v>280360</v>
      </c>
      <c r="H100" s="269">
        <f>TRUNC(H96*H98)</f>
        <v>190875</v>
      </c>
    </row>
    <row r="101" spans="2:9" s="245" customFormat="1" ht="19.5" outlineLevel="1">
      <c r="B101" s="259" t="s">
        <v>263</v>
      </c>
      <c r="C101" s="270">
        <f>SUM(D101:H101)</f>
        <v>606104890</v>
      </c>
      <c r="D101" s="261">
        <f>TRUNC(D99+D100)</f>
        <v>131275288</v>
      </c>
      <c r="E101" s="261">
        <f>TRUNC(E99+E100)</f>
        <v>126205988</v>
      </c>
      <c r="F101" s="261">
        <f>TRUNC(F99+F100)</f>
        <v>121031886</v>
      </c>
      <c r="G101" s="261">
        <f>TRUNC(G99+G100)</f>
        <v>116184695</v>
      </c>
      <c r="H101" s="261">
        <f>TRUNC(H99+H100)</f>
        <v>111407033</v>
      </c>
    </row>
    <row r="102" spans="2:9" s="245" customFormat="1" ht="18.75" outlineLevel="1">
      <c r="B102" s="259" t="s">
        <v>264</v>
      </c>
      <c r="C102" s="261">
        <f>L32*(-1)</f>
        <v>-15000000</v>
      </c>
    </row>
    <row r="103" spans="2:9" s="245" customFormat="1" ht="18.75" outlineLevel="1">
      <c r="B103" s="304"/>
    </row>
    <row r="104" spans="2:9" s="245" customFormat="1" ht="18.75" outlineLevel="1">
      <c r="B104" s="398" t="s">
        <v>387</v>
      </c>
      <c r="C104" s="399"/>
      <c r="D104" s="399"/>
      <c r="E104" s="399"/>
      <c r="F104" s="399"/>
      <c r="G104" s="399"/>
      <c r="H104" s="399"/>
      <c r="I104" s="400"/>
    </row>
    <row r="105" spans="2:9" s="245" customFormat="1" ht="18.75" outlineLevel="1">
      <c r="B105" s="401"/>
      <c r="C105" s="402"/>
      <c r="D105" s="402"/>
      <c r="E105" s="402"/>
      <c r="F105" s="402"/>
      <c r="G105" s="402"/>
      <c r="H105" s="402"/>
      <c r="I105" s="403"/>
    </row>
    <row r="106" spans="2:9" s="245" customFormat="1" ht="18.75" outlineLevel="1">
      <c r="B106" s="401"/>
      <c r="C106" s="402"/>
      <c r="D106" s="402"/>
      <c r="E106" s="402"/>
      <c r="F106" s="402"/>
      <c r="G106" s="402"/>
      <c r="H106" s="402"/>
      <c r="I106" s="403"/>
    </row>
    <row r="107" spans="2:9" s="245" customFormat="1" ht="18.75" outlineLevel="1">
      <c r="B107" s="401"/>
      <c r="C107" s="402"/>
      <c r="D107" s="402"/>
      <c r="E107" s="402"/>
      <c r="F107" s="402"/>
      <c r="G107" s="402"/>
      <c r="H107" s="402"/>
      <c r="I107" s="403"/>
    </row>
    <row r="108" spans="2:9" s="245" customFormat="1" ht="18.75" outlineLevel="1">
      <c r="B108" s="404"/>
      <c r="C108" s="405"/>
      <c r="D108" s="405"/>
      <c r="E108" s="405"/>
      <c r="F108" s="405"/>
      <c r="G108" s="405"/>
      <c r="H108" s="405"/>
      <c r="I108" s="406"/>
    </row>
    <row r="109" spans="2:9" s="245" customFormat="1" ht="18.75" outlineLevel="1"/>
    <row r="110" spans="2:9" s="245" customFormat="1" ht="18.75" outlineLevel="1"/>
    <row r="111" spans="2:9" s="245" customFormat="1" ht="18.75"/>
    <row r="112" spans="2:9" s="245" customFormat="1" ht="18.75"/>
    <row r="113" s="245" customFormat="1" ht="18.75"/>
    <row r="114" s="245" customFormat="1" ht="18.75"/>
    <row r="115" s="245" customFormat="1" ht="18.75"/>
    <row r="116" s="245" customFormat="1" ht="18.75"/>
  </sheetData>
  <mergeCells count="62">
    <mergeCell ref="Q39:V39"/>
    <mergeCell ref="B14:B15"/>
    <mergeCell ref="E14:F14"/>
    <mergeCell ref="E69:F69"/>
    <mergeCell ref="B104:I108"/>
    <mergeCell ref="C93:C98"/>
    <mergeCell ref="B65:D65"/>
    <mergeCell ref="E77:F77"/>
    <mergeCell ref="E76:F76"/>
    <mergeCell ref="E78:F78"/>
    <mergeCell ref="E79:F79"/>
    <mergeCell ref="G67:H67"/>
    <mergeCell ref="G68:H68"/>
    <mergeCell ref="G69:H69"/>
    <mergeCell ref="E72:F72"/>
    <mergeCell ref="E73:F73"/>
    <mergeCell ref="E13:F13"/>
    <mergeCell ref="B1:D1"/>
    <mergeCell ref="Q1:V1"/>
    <mergeCell ref="E2:F2"/>
    <mergeCell ref="E3:F3"/>
    <mergeCell ref="E4:F4"/>
    <mergeCell ref="E6:F6"/>
    <mergeCell ref="E9:F9"/>
    <mergeCell ref="E10:F10"/>
    <mergeCell ref="B11:B12"/>
    <mergeCell ref="E11:F11"/>
    <mergeCell ref="E12:F12"/>
    <mergeCell ref="E15:F15"/>
    <mergeCell ref="B17:B18"/>
    <mergeCell ref="E17:F17"/>
    <mergeCell ref="E18:F18"/>
    <mergeCell ref="E48:F48"/>
    <mergeCell ref="B20:B21"/>
    <mergeCell ref="E20:F20"/>
    <mergeCell ref="E21:F21"/>
    <mergeCell ref="B23:B24"/>
    <mergeCell ref="B39:D39"/>
    <mergeCell ref="E40:F40"/>
    <mergeCell ref="E41:F41"/>
    <mergeCell ref="E42:F42"/>
    <mergeCell ref="E44:F44"/>
    <mergeCell ref="E47:F47"/>
    <mergeCell ref="B49:B50"/>
    <mergeCell ref="E49:F49"/>
    <mergeCell ref="E50:F50"/>
    <mergeCell ref="E51:F51"/>
    <mergeCell ref="B52:B53"/>
    <mergeCell ref="E52:F52"/>
    <mergeCell ref="E53:F53"/>
    <mergeCell ref="J73:K73"/>
    <mergeCell ref="B61:B62"/>
    <mergeCell ref="B55:B56"/>
    <mergeCell ref="E55:F55"/>
    <mergeCell ref="E56:F56"/>
    <mergeCell ref="B58:B59"/>
    <mergeCell ref="E58:F58"/>
    <mergeCell ref="E59:F59"/>
    <mergeCell ref="E68:F68"/>
    <mergeCell ref="G73:H73"/>
    <mergeCell ref="G72:H72"/>
    <mergeCell ref="E67:F67"/>
  </mergeCells>
  <phoneticPr fontId="2"/>
  <conditionalFormatting sqref="G68:G69 F35:F36">
    <cfRule type="cellIs" dxfId="17" priority="9" operator="equal">
      <formula>"NG"</formula>
    </cfRule>
    <cfRule type="cellIs" dxfId="16" priority="10" operator="equal">
      <formula>"OK"</formula>
    </cfRule>
  </conditionalFormatting>
  <conditionalFormatting sqref="F37">
    <cfRule type="cellIs" dxfId="15" priority="3" operator="equal">
      <formula>"NG"</formula>
    </cfRule>
    <cfRule type="cellIs" dxfId="14" priority="4" operator="equal">
      <formula>"OK"</formula>
    </cfRule>
  </conditionalFormatting>
  <conditionalFormatting sqref="G73">
    <cfRule type="cellIs" dxfId="13" priority="1" operator="equal">
      <formula>"NG"</formula>
    </cfRule>
    <cfRule type="cellIs" dxfId="12" priority="2" operator="equal">
      <formula>"OK"</formula>
    </cfRule>
  </conditionalFormatting>
  <dataValidations count="2">
    <dataValidation type="list" allowBlank="1" showInputMessage="1" showErrorMessage="1" sqref="L35" xr:uid="{00000000-0002-0000-0000-000000000000}">
      <formula1>$V$34:$V$35</formula1>
    </dataValidation>
    <dataValidation type="list" allowBlank="1" showInputMessage="1" showErrorMessage="1" sqref="L33" xr:uid="{00000000-0002-0000-0000-000001000000}">
      <formula1>$U$33:$U$34</formula1>
    </dataValidation>
  </dataValidations>
  <pageMargins left="0.11811023622047245" right="0.11811023622047245" top="0.15748031496062992" bottom="0.15748031496062992" header="0.11811023622047245" footer="0.11811023622047245"/>
  <pageSetup paperSize="8" scale="42" fitToHeight="0" orientation="portrait" r:id="rId1"/>
  <drawing r:id="rId2"/>
  <legacyDrawing r:id="rId3"/>
  <controls>
    <mc:AlternateContent xmlns:mc="http://schemas.openxmlformats.org/markup-compatibility/2006">
      <mc:Choice Requires="x14">
        <control shapeId="1038" r:id="rId4" name="cmdAutoBunsyo">
          <controlPr defaultSize="0" autoLine="0" r:id="rId5">
            <anchor moveWithCells="1">
              <from>
                <xdr:col>1</xdr:col>
                <xdr:colOff>123825</xdr:colOff>
                <xdr:row>113</xdr:row>
                <xdr:rowOff>104775</xdr:rowOff>
              </from>
              <to>
                <xdr:col>3</xdr:col>
                <xdr:colOff>104775</xdr:colOff>
                <xdr:row>117</xdr:row>
                <xdr:rowOff>228600</xdr:rowOff>
              </to>
            </anchor>
          </controlPr>
        </control>
      </mc:Choice>
      <mc:Fallback>
        <control shapeId="1038" r:id="rId4" name="cmdAutoBunsyo"/>
      </mc:Fallback>
    </mc:AlternateContent>
    <mc:AlternateContent xmlns:mc="http://schemas.openxmlformats.org/markup-compatibility/2006">
      <mc:Choice Requires="x14">
        <control shapeId="1032" r:id="rId6" name="spn増員数">
          <controlPr defaultSize="0" autoFill="0" autoLine="0" r:id="rId7">
            <anchor moveWithCells="1">
              <from>
                <xdr:col>5</xdr:col>
                <xdr:colOff>28575</xdr:colOff>
                <xdr:row>30</xdr:row>
                <xdr:rowOff>28575</xdr:rowOff>
              </from>
              <to>
                <xdr:col>5</xdr:col>
                <xdr:colOff>609600</xdr:colOff>
                <xdr:row>30</xdr:row>
                <xdr:rowOff>295275</xdr:rowOff>
              </to>
            </anchor>
          </controlPr>
        </control>
      </mc:Choice>
      <mc:Fallback>
        <control shapeId="1032" r:id="rId6" name="spn増員数"/>
      </mc:Fallback>
    </mc:AlternateContent>
    <mc:AlternateContent xmlns:mc="http://schemas.openxmlformats.org/markup-compatibility/2006">
      <mc:Choice Requires="x14">
        <control shapeId="1031" r:id="rId8" name="spn原価低減">
          <controlPr defaultSize="0" autoFill="0" autoLine="0" r:id="rId7">
            <anchor moveWithCells="1">
              <from>
                <xdr:col>5</xdr:col>
                <xdr:colOff>28575</xdr:colOff>
                <xdr:row>29</xdr:row>
                <xdr:rowOff>28575</xdr:rowOff>
              </from>
              <to>
                <xdr:col>5</xdr:col>
                <xdr:colOff>609600</xdr:colOff>
                <xdr:row>29</xdr:row>
                <xdr:rowOff>295275</xdr:rowOff>
              </to>
            </anchor>
          </controlPr>
        </control>
      </mc:Choice>
      <mc:Fallback>
        <control shapeId="1031" r:id="rId8" name="spn原価低減"/>
      </mc:Fallback>
    </mc:AlternateContent>
    <mc:AlternateContent xmlns:mc="http://schemas.openxmlformats.org/markup-compatibility/2006">
      <mc:Choice Requires="x14">
        <control shapeId="1027" r:id="rId9" name="ScrollBar1">
          <controlPr defaultSize="0" autoLine="0" autoPict="0" r:id="rId10">
            <anchor moveWithCells="1">
              <from>
                <xdr:col>6</xdr:col>
                <xdr:colOff>38100</xdr:colOff>
                <xdr:row>28</xdr:row>
                <xdr:rowOff>38100</xdr:rowOff>
              </from>
              <to>
                <xdr:col>7</xdr:col>
                <xdr:colOff>1143000</xdr:colOff>
                <xdr:row>28</xdr:row>
                <xdr:rowOff>247650</xdr:rowOff>
              </to>
            </anchor>
          </controlPr>
        </control>
      </mc:Choice>
      <mc:Fallback>
        <control shapeId="1027" r:id="rId9" name="ScrollBar1"/>
      </mc:Fallback>
    </mc:AlternateContent>
    <mc:AlternateContent xmlns:mc="http://schemas.openxmlformats.org/markup-compatibility/2006">
      <mc:Choice Requires="x14">
        <control shapeId="1026" r:id="rId11" name="spn売上">
          <controlPr defaultSize="0" autoFill="0" autoLine="0" r:id="rId12">
            <anchor moveWithCells="1">
              <from>
                <xdr:col>5</xdr:col>
                <xdr:colOff>28575</xdr:colOff>
                <xdr:row>28</xdr:row>
                <xdr:rowOff>28575</xdr:rowOff>
              </from>
              <to>
                <xdr:col>5</xdr:col>
                <xdr:colOff>609600</xdr:colOff>
                <xdr:row>28</xdr:row>
                <xdr:rowOff>285750</xdr:rowOff>
              </to>
            </anchor>
          </controlPr>
        </control>
      </mc:Choice>
      <mc:Fallback>
        <control shapeId="1026" r:id="rId11" name="spn売上"/>
      </mc:Fallback>
    </mc:AlternateContent>
    <mc:AlternateContent xmlns:mc="http://schemas.openxmlformats.org/markup-compatibility/2006">
      <mc:Choice Requires="x14">
        <control shapeId="1034" r:id="rId13" name="cmdReset">
          <controlPr defaultSize="0" autoLine="0" autoPict="0" r:id="rId14">
            <anchor moveWithCells="1">
              <from>
                <xdr:col>8</xdr:col>
                <xdr:colOff>228600</xdr:colOff>
                <xdr:row>27</xdr:row>
                <xdr:rowOff>95250</xdr:rowOff>
              </from>
              <to>
                <xdr:col>9</xdr:col>
                <xdr:colOff>38100</xdr:colOff>
                <xdr:row>28</xdr:row>
                <xdr:rowOff>285750</xdr:rowOff>
              </to>
            </anchor>
          </controlPr>
        </control>
      </mc:Choice>
      <mc:Fallback>
        <control shapeId="1034" r:id="rId13" name="cmdReset"/>
      </mc:Fallback>
    </mc:AlternateContent>
  </controls>
  <extLst>
    <ext xmlns:x14="http://schemas.microsoft.com/office/spreadsheetml/2009/9/main" uri="{05C60535-1F16-4fd2-B633-F4F36F0B64E0}">
      <x14:sparklineGroups xmlns:xm="http://schemas.microsoft.com/office/excel/2006/main">
        <x14:sparklineGroup manualMax="0" manualMin="0" displayEmptyCellsAs="span" xr2:uid="{00000000-0003-0000-0000-000000000000}">
          <x14:colorSeries rgb="FF376092"/>
          <x14:colorNegative rgb="FFD00000"/>
          <x14:colorAxis rgb="FF000000"/>
          <x14:colorMarkers rgb="FFD00000"/>
          <x14:colorFirst rgb="FFD00000"/>
          <x14:colorLast rgb="FFD00000"/>
          <x14:colorHigh rgb="FFD00000"/>
          <x14:colorLow rgb="FFD00000"/>
          <x14:sparklines>
            <x14:sparkline>
              <xm:f>ﾃﾝﾌﾟﾚｰﾄ!C77:I77</xm:f>
              <xm:sqref>J77</xm:sqref>
            </x14:sparkline>
            <x14:sparkline>
              <xm:f>ﾃﾝﾌﾟﾚｰﾄ!C78:I78</xm:f>
              <xm:sqref>J78</xm:sqref>
            </x14:sparkline>
            <x14:sparkline>
              <xm:f>ﾃﾝﾌﾟﾚｰﾄ!C79:I79</xm:f>
              <xm:sqref>J79</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H113"/>
  <sheetViews>
    <sheetView showGridLines="0" topLeftCell="A76" zoomScale="85" zoomScaleNormal="85" workbookViewId="0">
      <selection activeCell="A110" sqref="A110"/>
    </sheetView>
  </sheetViews>
  <sheetFormatPr defaultColWidth="11.25" defaultRowHeight="18.75"/>
  <cols>
    <col min="1" max="1" width="12.375" customWidth="1"/>
    <col min="2" max="2" width="13.25" bestFit="1" customWidth="1"/>
    <col min="3" max="4" width="11.5" bestFit="1" customWidth="1"/>
    <col min="5" max="5" width="11.25" customWidth="1"/>
    <col min="6" max="7" width="11.5" bestFit="1" customWidth="1"/>
    <col min="9" max="9" width="2.375" customWidth="1"/>
  </cols>
  <sheetData>
    <row r="1" spans="1:8" ht="18.75" customHeight="1">
      <c r="A1" s="414" t="s">
        <v>381</v>
      </c>
      <c r="B1" s="415"/>
      <c r="C1" s="415"/>
      <c r="D1" s="415"/>
      <c r="E1" s="415"/>
      <c r="F1" s="415"/>
      <c r="G1" s="415"/>
      <c r="H1" s="415"/>
    </row>
    <row r="2" spans="1:8">
      <c r="A2" s="415"/>
      <c r="B2" s="415"/>
      <c r="C2" s="415"/>
      <c r="D2" s="415"/>
      <c r="E2" s="415"/>
      <c r="F2" s="415"/>
      <c r="G2" s="415"/>
      <c r="H2" s="415"/>
    </row>
    <row r="3" spans="1:8">
      <c r="A3" s="415"/>
      <c r="B3" s="415"/>
      <c r="C3" s="415"/>
      <c r="D3" s="415"/>
      <c r="E3" s="415"/>
      <c r="F3" s="415"/>
      <c r="G3" s="415"/>
      <c r="H3" s="415"/>
    </row>
    <row r="4" spans="1:8">
      <c r="A4" s="415"/>
      <c r="B4" s="415"/>
      <c r="C4" s="415"/>
      <c r="D4" s="415"/>
      <c r="E4" s="415"/>
      <c r="F4" s="415"/>
      <c r="G4" s="415"/>
      <c r="H4" s="415"/>
    </row>
    <row r="5" spans="1:8" ht="312.75" customHeight="1">
      <c r="A5" s="415"/>
      <c r="B5" s="415"/>
      <c r="C5" s="415"/>
      <c r="D5" s="415"/>
      <c r="E5" s="415"/>
      <c r="F5" s="415"/>
      <c r="G5" s="415"/>
      <c r="H5" s="415"/>
    </row>
    <row r="6" spans="1:8">
      <c r="A6" s="414" t="s">
        <v>307</v>
      </c>
      <c r="B6" s="415"/>
      <c r="C6" s="415"/>
      <c r="D6" s="415"/>
      <c r="E6" s="415"/>
      <c r="F6" s="415"/>
      <c r="G6" s="415"/>
      <c r="H6" s="415"/>
    </row>
    <row r="7" spans="1:8" ht="30" customHeight="1">
      <c r="A7" s="415"/>
      <c r="B7" s="415"/>
      <c r="C7" s="415"/>
      <c r="D7" s="415"/>
      <c r="E7" s="415"/>
      <c r="F7" s="415"/>
      <c r="G7" s="415"/>
      <c r="H7" s="415"/>
    </row>
    <row r="8" spans="1:8" ht="31.5">
      <c r="A8" s="338"/>
      <c r="B8" s="338" t="s">
        <v>308</v>
      </c>
      <c r="C8" s="338" t="s">
        <v>309</v>
      </c>
      <c r="D8" s="338" t="s">
        <v>310</v>
      </c>
      <c r="E8" s="338" t="s">
        <v>311</v>
      </c>
      <c r="F8" s="339" t="s">
        <v>312</v>
      </c>
      <c r="G8" s="338" t="s">
        <v>313</v>
      </c>
      <c r="H8" s="338" t="s">
        <v>314</v>
      </c>
    </row>
    <row r="9" spans="1:8">
      <c r="A9" s="2" t="s">
        <v>315</v>
      </c>
      <c r="B9" s="340">
        <v>400</v>
      </c>
      <c r="C9" s="340">
        <v>132.69999999999999</v>
      </c>
      <c r="D9" s="342">
        <v>57.3</v>
      </c>
      <c r="E9" s="342">
        <v>70.400000000000006</v>
      </c>
      <c r="F9" s="340">
        <v>260.39999999999998</v>
      </c>
      <c r="G9" s="340">
        <v>139.6</v>
      </c>
      <c r="H9" s="341">
        <v>0.34899999999999998</v>
      </c>
    </row>
    <row r="10" spans="1:8">
      <c r="A10" s="2" t="s">
        <v>316</v>
      </c>
      <c r="B10" s="340">
        <v>230</v>
      </c>
      <c r="C10" s="340">
        <v>65.400000000000006</v>
      </c>
      <c r="D10" s="340">
        <v>29.9</v>
      </c>
      <c r="E10" s="340">
        <v>40.5</v>
      </c>
      <c r="F10" s="340">
        <v>135.80000000000001</v>
      </c>
      <c r="G10" s="340">
        <v>94.2</v>
      </c>
      <c r="H10" s="341">
        <v>0.41</v>
      </c>
    </row>
    <row r="11" spans="1:8">
      <c r="A11" s="420" t="s">
        <v>382</v>
      </c>
      <c r="B11" s="421"/>
      <c r="C11" s="421"/>
      <c r="D11" s="421"/>
      <c r="E11" s="421"/>
      <c r="F11" s="421"/>
      <c r="G11" s="421"/>
      <c r="H11" s="421"/>
    </row>
    <row r="12" spans="1:8">
      <c r="A12" s="415"/>
      <c r="B12" s="415"/>
      <c r="C12" s="415"/>
      <c r="D12" s="415"/>
      <c r="E12" s="415"/>
      <c r="F12" s="415"/>
      <c r="G12" s="415"/>
      <c r="H12" s="415"/>
    </row>
    <row r="13" spans="1:8">
      <c r="A13" s="415"/>
      <c r="B13" s="415"/>
      <c r="C13" s="415"/>
      <c r="D13" s="415"/>
      <c r="E13" s="415"/>
      <c r="F13" s="415"/>
      <c r="G13" s="415"/>
      <c r="H13" s="415"/>
    </row>
    <row r="14" spans="1:8">
      <c r="A14" s="415"/>
      <c r="B14" s="415"/>
      <c r="C14" s="415"/>
      <c r="D14" s="415"/>
      <c r="E14" s="415"/>
      <c r="F14" s="415"/>
      <c r="G14" s="415"/>
      <c r="H14" s="415"/>
    </row>
    <row r="15" spans="1:8" ht="19.5" customHeight="1">
      <c r="A15" s="415"/>
      <c r="B15" s="415"/>
      <c r="C15" s="415"/>
      <c r="D15" s="415"/>
      <c r="E15" s="415"/>
      <c r="F15" s="415"/>
      <c r="G15" s="415"/>
      <c r="H15" s="415"/>
    </row>
    <row r="16" spans="1:8">
      <c r="A16" s="415"/>
      <c r="B16" s="415"/>
      <c r="C16" s="415"/>
      <c r="D16" s="415"/>
      <c r="E16" s="415"/>
      <c r="F16" s="415"/>
      <c r="G16" s="415"/>
      <c r="H16" s="415"/>
    </row>
    <row r="17" spans="1:8">
      <c r="A17" s="415"/>
      <c r="B17" s="415"/>
      <c r="C17" s="415"/>
      <c r="D17" s="415"/>
      <c r="E17" s="415"/>
      <c r="F17" s="415"/>
      <c r="G17" s="415"/>
      <c r="H17" s="415"/>
    </row>
    <row r="18" spans="1:8">
      <c r="A18" s="415"/>
      <c r="B18" s="415"/>
      <c r="C18" s="415"/>
      <c r="D18" s="415"/>
      <c r="E18" s="415"/>
      <c r="F18" s="415"/>
      <c r="G18" s="415"/>
      <c r="H18" s="415"/>
    </row>
    <row r="19" spans="1:8">
      <c r="A19" s="415"/>
      <c r="B19" s="415"/>
      <c r="C19" s="415"/>
      <c r="D19" s="415"/>
      <c r="E19" s="415"/>
      <c r="F19" s="415"/>
      <c r="G19" s="415"/>
      <c r="H19" s="415"/>
    </row>
    <row r="20" spans="1:8">
      <c r="A20" s="415"/>
      <c r="B20" s="415"/>
      <c r="C20" s="415"/>
      <c r="D20" s="415"/>
      <c r="E20" s="415"/>
      <c r="F20" s="415"/>
      <c r="G20" s="415"/>
      <c r="H20" s="415"/>
    </row>
    <row r="21" spans="1:8">
      <c r="A21" s="415"/>
      <c r="B21" s="415"/>
      <c r="C21" s="415"/>
      <c r="D21" s="415"/>
      <c r="E21" s="415"/>
      <c r="F21" s="415"/>
      <c r="G21" s="415"/>
      <c r="H21" s="415"/>
    </row>
    <row r="22" spans="1:8">
      <c r="A22" s="415"/>
      <c r="B22" s="415"/>
      <c r="C22" s="415"/>
      <c r="D22" s="415"/>
      <c r="E22" s="415"/>
      <c r="F22" s="415"/>
      <c r="G22" s="415"/>
      <c r="H22" s="415"/>
    </row>
    <row r="23" spans="1:8">
      <c r="A23" s="415"/>
      <c r="B23" s="415"/>
      <c r="C23" s="415"/>
      <c r="D23" s="415"/>
      <c r="E23" s="415"/>
      <c r="F23" s="415"/>
      <c r="G23" s="415"/>
      <c r="H23" s="415"/>
    </row>
    <row r="24" spans="1:8">
      <c r="A24" s="415"/>
      <c r="B24" s="415"/>
      <c r="C24" s="415"/>
      <c r="D24" s="415"/>
      <c r="E24" s="415"/>
      <c r="F24" s="415"/>
      <c r="G24" s="415"/>
      <c r="H24" s="415"/>
    </row>
    <row r="25" spans="1:8" ht="116.25" customHeight="1">
      <c r="A25" s="415"/>
      <c r="B25" s="415"/>
      <c r="C25" s="415"/>
      <c r="D25" s="415"/>
      <c r="E25" s="415"/>
      <c r="F25" s="415"/>
      <c r="G25" s="415"/>
      <c r="H25" s="415"/>
    </row>
    <row r="26" spans="1:8">
      <c r="A26" s="422" t="s">
        <v>317</v>
      </c>
      <c r="B26" s="415"/>
      <c r="C26" s="415"/>
      <c r="D26" s="415"/>
      <c r="E26" s="415"/>
      <c r="F26" s="415"/>
      <c r="G26" s="415"/>
      <c r="H26" s="415"/>
    </row>
    <row r="27" spans="1:8">
      <c r="A27" s="415"/>
      <c r="B27" s="415"/>
      <c r="C27" s="415"/>
      <c r="D27" s="415"/>
      <c r="E27" s="415"/>
      <c r="F27" s="415"/>
      <c r="G27" s="415"/>
      <c r="H27" s="415"/>
    </row>
    <row r="28" spans="1:8">
      <c r="A28" s="415"/>
      <c r="B28" s="415"/>
      <c r="C28" s="415"/>
      <c r="D28" s="415"/>
      <c r="E28" s="415"/>
      <c r="F28" s="415"/>
      <c r="G28" s="415"/>
      <c r="H28" s="415"/>
    </row>
    <row r="29" spans="1:8">
      <c r="A29" s="414" t="s">
        <v>379</v>
      </c>
      <c r="B29" s="415"/>
      <c r="C29" s="415"/>
      <c r="D29" s="415"/>
      <c r="E29" s="415"/>
      <c r="F29" s="415"/>
      <c r="G29" s="415"/>
      <c r="H29" s="415"/>
    </row>
    <row r="30" spans="1:8">
      <c r="A30" s="415"/>
      <c r="B30" s="415"/>
      <c r="C30" s="415"/>
      <c r="D30" s="415"/>
      <c r="E30" s="415"/>
      <c r="F30" s="415"/>
      <c r="G30" s="415"/>
      <c r="H30" s="415"/>
    </row>
    <row r="31" spans="1:8">
      <c r="A31" s="415"/>
      <c r="B31" s="415"/>
      <c r="C31" s="415"/>
      <c r="D31" s="415"/>
      <c r="E31" s="415"/>
      <c r="F31" s="415"/>
      <c r="G31" s="415"/>
      <c r="H31" s="415"/>
    </row>
    <row r="32" spans="1:8">
      <c r="A32" s="415"/>
      <c r="B32" s="415"/>
      <c r="C32" s="415"/>
      <c r="D32" s="415"/>
      <c r="E32" s="415"/>
      <c r="F32" s="415"/>
      <c r="G32" s="415"/>
      <c r="H32" s="415"/>
    </row>
    <row r="33" spans="1:8" ht="17.25" customHeight="1">
      <c r="A33" s="415"/>
      <c r="B33" s="415"/>
      <c r="C33" s="415"/>
      <c r="D33" s="415"/>
      <c r="E33" s="415"/>
      <c r="F33" s="415"/>
      <c r="G33" s="415"/>
      <c r="H33" s="415"/>
    </row>
    <row r="34" spans="1:8">
      <c r="A34" s="415"/>
      <c r="B34" s="415"/>
      <c r="C34" s="415"/>
      <c r="D34" s="415"/>
      <c r="E34" s="415"/>
      <c r="F34" s="415"/>
      <c r="G34" s="415"/>
      <c r="H34" s="415"/>
    </row>
    <row r="35" spans="1:8">
      <c r="A35" s="415"/>
      <c r="B35" s="415"/>
      <c r="C35" s="415"/>
      <c r="D35" s="415"/>
      <c r="E35" s="415"/>
      <c r="F35" s="415"/>
      <c r="G35" s="415"/>
      <c r="H35" s="415"/>
    </row>
    <row r="36" spans="1:8">
      <c r="A36" s="415"/>
      <c r="B36" s="415"/>
      <c r="C36" s="415"/>
      <c r="D36" s="415"/>
      <c r="E36" s="415"/>
      <c r="F36" s="415"/>
      <c r="G36" s="415"/>
      <c r="H36" s="415"/>
    </row>
    <row r="37" spans="1:8">
      <c r="A37" s="415"/>
      <c r="B37" s="415"/>
      <c r="C37" s="415"/>
      <c r="D37" s="415"/>
      <c r="E37" s="415"/>
      <c r="F37" s="415"/>
      <c r="G37" s="415"/>
      <c r="H37" s="415"/>
    </row>
    <row r="38" spans="1:8">
      <c r="A38" s="415"/>
      <c r="B38" s="415"/>
      <c r="C38" s="415"/>
      <c r="D38" s="415"/>
      <c r="E38" s="415"/>
      <c r="F38" s="415"/>
      <c r="G38" s="415"/>
      <c r="H38" s="415"/>
    </row>
    <row r="39" spans="1:8">
      <c r="A39" s="415"/>
      <c r="B39" s="415"/>
      <c r="C39" s="415"/>
      <c r="D39" s="415"/>
      <c r="E39" s="415"/>
      <c r="F39" s="415"/>
      <c r="G39" s="415"/>
      <c r="H39" s="415"/>
    </row>
    <row r="40" spans="1:8">
      <c r="A40" s="415"/>
      <c r="B40" s="415"/>
      <c r="C40" s="415"/>
      <c r="D40" s="415"/>
      <c r="E40" s="415"/>
      <c r="F40" s="415"/>
      <c r="G40" s="415"/>
      <c r="H40" s="415"/>
    </row>
    <row r="41" spans="1:8">
      <c r="A41" s="415"/>
      <c r="B41" s="415"/>
      <c r="C41" s="415"/>
      <c r="D41" s="415"/>
      <c r="E41" s="415"/>
      <c r="F41" s="415"/>
      <c r="G41" s="415"/>
      <c r="H41" s="415"/>
    </row>
    <row r="42" spans="1:8" ht="18" customHeight="1">
      <c r="A42" s="415"/>
      <c r="B42" s="415"/>
      <c r="C42" s="415"/>
      <c r="D42" s="415"/>
      <c r="E42" s="415"/>
      <c r="F42" s="415"/>
      <c r="G42" s="415"/>
      <c r="H42" s="415"/>
    </row>
    <row r="43" spans="1:8">
      <c r="A43" s="415"/>
      <c r="B43" s="415"/>
      <c r="C43" s="415"/>
      <c r="D43" s="415"/>
      <c r="E43" s="415"/>
      <c r="F43" s="415"/>
      <c r="G43" s="415"/>
      <c r="H43" s="415"/>
    </row>
    <row r="44" spans="1:8">
      <c r="A44" s="414" t="s">
        <v>383</v>
      </c>
      <c r="B44" s="415"/>
      <c r="C44" s="415"/>
      <c r="D44" s="415"/>
      <c r="E44" s="415"/>
      <c r="F44" s="415"/>
      <c r="G44" s="415"/>
      <c r="H44" s="415"/>
    </row>
    <row r="45" spans="1:8">
      <c r="A45" s="415"/>
      <c r="B45" s="415"/>
      <c r="C45" s="415"/>
      <c r="D45" s="415"/>
      <c r="E45" s="415"/>
      <c r="F45" s="415"/>
      <c r="G45" s="415"/>
      <c r="H45" s="415"/>
    </row>
    <row r="46" spans="1:8" ht="203.25" customHeight="1">
      <c r="A46" s="415"/>
      <c r="B46" s="415"/>
      <c r="C46" s="415"/>
      <c r="D46" s="415"/>
      <c r="E46" s="415"/>
      <c r="F46" s="415"/>
      <c r="G46" s="415"/>
      <c r="H46" s="415"/>
    </row>
    <row r="47" spans="1:8">
      <c r="A47" s="338"/>
      <c r="B47" s="338" t="s">
        <v>323</v>
      </c>
      <c r="C47" s="338" t="s">
        <v>320</v>
      </c>
      <c r="D47" s="338" t="s">
        <v>321</v>
      </c>
      <c r="E47" s="338" t="s">
        <v>324</v>
      </c>
    </row>
    <row r="48" spans="1:8">
      <c r="A48" s="343" t="s">
        <v>325</v>
      </c>
      <c r="B48" s="344">
        <v>49156</v>
      </c>
      <c r="C48" s="344">
        <v>6411</v>
      </c>
      <c r="D48" s="344">
        <v>8661</v>
      </c>
      <c r="E48" s="345">
        <v>0.307</v>
      </c>
    </row>
    <row r="49" spans="1:8">
      <c r="A49" s="343" t="s">
        <v>326</v>
      </c>
      <c r="B49" s="344">
        <v>58496</v>
      </c>
      <c r="C49" s="344">
        <v>6167</v>
      </c>
      <c r="D49" s="344">
        <v>9482</v>
      </c>
      <c r="E49" s="345">
        <v>0.26800000000000002</v>
      </c>
    </row>
    <row r="50" spans="1:8">
      <c r="A50" s="343" t="s">
        <v>327</v>
      </c>
      <c r="B50" s="341">
        <v>0.19</v>
      </c>
      <c r="C50" s="341">
        <v>3.7999999999999999E-2</v>
      </c>
      <c r="D50" s="341">
        <v>-9.5000000000000001E-2</v>
      </c>
      <c r="E50" s="345">
        <v>0.127</v>
      </c>
    </row>
    <row r="51" spans="1:8">
      <c r="A51" s="414" t="s">
        <v>384</v>
      </c>
      <c r="B51" s="415"/>
      <c r="C51" s="415"/>
      <c r="D51" s="415"/>
      <c r="E51" s="415"/>
      <c r="F51" s="415"/>
      <c r="G51" s="415"/>
      <c r="H51" s="415"/>
    </row>
    <row r="52" spans="1:8">
      <c r="A52" s="415"/>
      <c r="B52" s="415"/>
      <c r="C52" s="415"/>
      <c r="D52" s="415"/>
      <c r="E52" s="415"/>
      <c r="F52" s="415"/>
      <c r="G52" s="415"/>
      <c r="H52" s="415"/>
    </row>
    <row r="53" spans="1:8" ht="97.5" customHeight="1">
      <c r="A53" s="419"/>
      <c r="B53" s="419"/>
      <c r="C53" s="419"/>
      <c r="D53" s="419"/>
      <c r="E53" s="419"/>
      <c r="F53" s="419"/>
      <c r="G53" s="419"/>
      <c r="H53" s="419"/>
    </row>
    <row r="54" spans="1:8" ht="31.5">
      <c r="A54" s="369" t="s">
        <v>328</v>
      </c>
      <c r="B54" s="338" t="s">
        <v>308</v>
      </c>
      <c r="C54" s="338" t="s">
        <v>309</v>
      </c>
      <c r="D54" s="338" t="s">
        <v>310</v>
      </c>
      <c r="E54" s="338" t="s">
        <v>311</v>
      </c>
      <c r="F54" s="339" t="s">
        <v>312</v>
      </c>
      <c r="G54" s="338" t="s">
        <v>313</v>
      </c>
      <c r="H54" s="338" t="s">
        <v>314</v>
      </c>
    </row>
    <row r="55" spans="1:8">
      <c r="A55" s="338" t="s">
        <v>325</v>
      </c>
      <c r="B55" s="346">
        <v>400</v>
      </c>
      <c r="C55" s="346">
        <v>132.69999999999999</v>
      </c>
      <c r="D55" s="346">
        <v>57.3</v>
      </c>
      <c r="E55" s="346">
        <v>70.400000000000006</v>
      </c>
      <c r="F55" s="346">
        <v>260.39999999999998</v>
      </c>
      <c r="G55" s="346">
        <v>139.6</v>
      </c>
      <c r="H55" s="347">
        <v>0.34899999999999998</v>
      </c>
    </row>
    <row r="56" spans="1:8">
      <c r="A56" s="338" t="s">
        <v>326</v>
      </c>
      <c r="B56" s="346">
        <v>450</v>
      </c>
      <c r="C56" s="346">
        <v>146.4</v>
      </c>
      <c r="D56" s="348">
        <v>52.1</v>
      </c>
      <c r="E56" s="348">
        <v>72.900000000000006</v>
      </c>
      <c r="F56" s="346">
        <v>271.39999999999998</v>
      </c>
      <c r="G56" s="346">
        <v>178.6</v>
      </c>
      <c r="H56" s="349">
        <v>0.39700000000000002</v>
      </c>
    </row>
    <row r="57" spans="1:8" ht="9.75" customHeight="1"/>
    <row r="58" spans="1:8" ht="31.5">
      <c r="A58" s="369" t="s">
        <v>329</v>
      </c>
      <c r="B58" s="338" t="s">
        <v>308</v>
      </c>
      <c r="C58" s="338" t="s">
        <v>309</v>
      </c>
      <c r="D58" s="338" t="s">
        <v>310</v>
      </c>
      <c r="E58" s="338" t="s">
        <v>311</v>
      </c>
      <c r="F58" s="339" t="s">
        <v>312</v>
      </c>
      <c r="G58" s="338" t="s">
        <v>313</v>
      </c>
      <c r="H58" s="338" t="s">
        <v>314</v>
      </c>
    </row>
    <row r="59" spans="1:8">
      <c r="A59" s="338" t="s">
        <v>325</v>
      </c>
      <c r="B59" s="346">
        <v>230</v>
      </c>
      <c r="C59" s="346">
        <v>65.400000000000006</v>
      </c>
      <c r="D59" s="346">
        <v>29.9</v>
      </c>
      <c r="E59" s="346">
        <v>40.5</v>
      </c>
      <c r="F59" s="346">
        <v>135.80000000000001</v>
      </c>
      <c r="G59" s="346">
        <v>94.2</v>
      </c>
      <c r="H59" s="347">
        <v>0.41</v>
      </c>
    </row>
    <row r="60" spans="1:8">
      <c r="A60" s="338" t="s">
        <v>326</v>
      </c>
      <c r="B60" s="346">
        <v>250</v>
      </c>
      <c r="C60" s="346">
        <v>69.7</v>
      </c>
      <c r="D60" s="346">
        <v>26.3</v>
      </c>
      <c r="E60" s="346">
        <v>40.5</v>
      </c>
      <c r="F60" s="346">
        <v>136.5</v>
      </c>
      <c r="G60" s="346">
        <v>113.5</v>
      </c>
      <c r="H60" s="347">
        <v>0.45400000000000001</v>
      </c>
    </row>
    <row r="62" spans="1:8">
      <c r="A62" s="414" t="s">
        <v>347</v>
      </c>
      <c r="B62" s="415"/>
      <c r="C62" s="415"/>
      <c r="D62" s="415"/>
      <c r="E62" s="415"/>
      <c r="F62" s="415"/>
      <c r="G62" s="415"/>
      <c r="H62" s="415"/>
    </row>
    <row r="63" spans="1:8">
      <c r="A63" s="415"/>
      <c r="B63" s="415"/>
      <c r="C63" s="415"/>
      <c r="D63" s="415"/>
      <c r="E63" s="415"/>
      <c r="F63" s="415"/>
      <c r="G63" s="415"/>
      <c r="H63" s="415"/>
    </row>
    <row r="64" spans="1:8">
      <c r="A64" s="415"/>
      <c r="B64" s="415"/>
      <c r="C64" s="415"/>
      <c r="D64" s="415"/>
      <c r="E64" s="415"/>
      <c r="F64" s="415"/>
      <c r="G64" s="415"/>
      <c r="H64" s="415"/>
    </row>
    <row r="65" spans="1:8">
      <c r="A65" s="218" t="s">
        <v>205</v>
      </c>
      <c r="B65" s="214" t="s">
        <v>201</v>
      </c>
      <c r="C65" s="214" t="s">
        <v>202</v>
      </c>
      <c r="D65" s="373" t="s">
        <v>206</v>
      </c>
    </row>
    <row r="66" spans="1:8">
      <c r="A66" s="219" t="s">
        <v>378</v>
      </c>
      <c r="B66" s="220">
        <v>63</v>
      </c>
      <c r="C66" s="221">
        <v>65</v>
      </c>
      <c r="D66" s="222">
        <v>3.1746031746031744E-2</v>
      </c>
    </row>
    <row r="67" spans="1:8">
      <c r="A67" s="352" t="s">
        <v>330</v>
      </c>
      <c r="B67" s="225">
        <v>335475288</v>
      </c>
      <c r="C67" s="372">
        <v>398854867.8461538</v>
      </c>
      <c r="D67" s="222">
        <v>0.18892473488584888</v>
      </c>
    </row>
    <row r="68" spans="1:8">
      <c r="A68" s="352" t="s">
        <v>331</v>
      </c>
      <c r="B68" s="227">
        <v>7802539.6825396828</v>
      </c>
      <c r="C68" s="228">
        <v>9112153.846153846</v>
      </c>
      <c r="D68" s="222">
        <v>0.1678446014885106</v>
      </c>
    </row>
    <row r="69" spans="1:8">
      <c r="A69" s="352" t="s">
        <v>332</v>
      </c>
      <c r="B69" s="227">
        <v>4307385.5238095243</v>
      </c>
      <c r="C69" s="228">
        <v>5030461.538461538</v>
      </c>
      <c r="D69" s="222">
        <v>0.16786888720666757</v>
      </c>
    </row>
    <row r="70" spans="1:8">
      <c r="A70" s="352" t="s">
        <v>333</v>
      </c>
      <c r="B70" s="227">
        <v>2932623.6190476189</v>
      </c>
      <c r="C70" s="228">
        <v>3771230.769230769</v>
      </c>
      <c r="D70" s="222">
        <v>0.28595798817697959</v>
      </c>
    </row>
    <row r="71" spans="1:8">
      <c r="A71" s="352" t="s">
        <v>334</v>
      </c>
      <c r="B71" s="227">
        <v>5325004.5714285718</v>
      </c>
      <c r="C71" s="228">
        <v>6136228.7360946741</v>
      </c>
      <c r="D71" s="222">
        <v>0.15234243535089964</v>
      </c>
    </row>
    <row r="72" spans="1:8">
      <c r="A72" s="352" t="s">
        <v>336</v>
      </c>
      <c r="B72" s="230">
        <v>2.5097228658079991</v>
      </c>
      <c r="C72" s="231">
        <v>2.9735743181138332</v>
      </c>
      <c r="D72" s="222">
        <v>0.18482178196854349</v>
      </c>
    </row>
    <row r="75" spans="1:8">
      <c r="A75" s="414" t="s">
        <v>380</v>
      </c>
      <c r="B75" s="415"/>
      <c r="C75" s="415"/>
      <c r="D75" s="415"/>
      <c r="E75" s="415"/>
      <c r="F75" s="415"/>
      <c r="G75" s="415"/>
      <c r="H75" s="415"/>
    </row>
    <row r="76" spans="1:8">
      <c r="A76" s="415"/>
      <c r="B76" s="415"/>
      <c r="C76" s="415"/>
      <c r="D76" s="415"/>
      <c r="E76" s="415"/>
      <c r="F76" s="415"/>
      <c r="G76" s="415"/>
      <c r="H76" s="415"/>
    </row>
    <row r="77" spans="1:8">
      <c r="A77" s="415"/>
      <c r="B77" s="415"/>
      <c r="C77" s="415"/>
      <c r="D77" s="415"/>
      <c r="E77" s="415"/>
      <c r="F77" s="415"/>
      <c r="G77" s="415"/>
      <c r="H77" s="415"/>
    </row>
    <row r="78" spans="1:8">
      <c r="A78" s="415"/>
      <c r="B78" s="415"/>
      <c r="C78" s="415"/>
      <c r="D78" s="415"/>
      <c r="E78" s="415"/>
      <c r="F78" s="415"/>
      <c r="G78" s="415"/>
      <c r="H78" s="415"/>
    </row>
    <row r="79" spans="1:8">
      <c r="A79" s="415"/>
      <c r="B79" s="415"/>
      <c r="C79" s="415"/>
      <c r="D79" s="415"/>
      <c r="E79" s="415"/>
      <c r="F79" s="415"/>
      <c r="G79" s="415"/>
      <c r="H79" s="415"/>
    </row>
    <row r="80" spans="1:8">
      <c r="A80" s="415"/>
      <c r="B80" s="415"/>
      <c r="C80" s="415"/>
      <c r="D80" s="415"/>
      <c r="E80" s="415"/>
      <c r="F80" s="415"/>
      <c r="G80" s="415"/>
      <c r="H80" s="415"/>
    </row>
    <row r="81" spans="1:8">
      <c r="A81" s="415"/>
      <c r="B81" s="415"/>
      <c r="C81" s="415"/>
      <c r="D81" s="415"/>
      <c r="E81" s="415"/>
      <c r="F81" s="415"/>
      <c r="G81" s="415"/>
      <c r="H81" s="415"/>
    </row>
    <row r="82" spans="1:8">
      <c r="A82" s="415"/>
      <c r="B82" s="415"/>
      <c r="C82" s="415"/>
      <c r="D82" s="415"/>
      <c r="E82" s="415"/>
      <c r="F82" s="415"/>
      <c r="G82" s="415"/>
      <c r="H82" s="415"/>
    </row>
    <row r="83" spans="1:8">
      <c r="A83" s="415"/>
      <c r="B83" s="415"/>
      <c r="C83" s="415"/>
      <c r="D83" s="415"/>
      <c r="E83" s="415"/>
      <c r="F83" s="415"/>
      <c r="G83" s="415"/>
      <c r="H83" s="415"/>
    </row>
    <row r="84" spans="1:8">
      <c r="A84" s="415"/>
      <c r="B84" s="415"/>
      <c r="C84" s="415"/>
      <c r="D84" s="415"/>
      <c r="E84" s="415"/>
      <c r="F84" s="415"/>
      <c r="G84" s="415"/>
      <c r="H84" s="415"/>
    </row>
    <row r="85" spans="1:8">
      <c r="A85" s="415"/>
      <c r="B85" s="415"/>
      <c r="C85" s="415"/>
      <c r="D85" s="415"/>
      <c r="E85" s="415"/>
      <c r="F85" s="415"/>
      <c r="G85" s="415"/>
      <c r="H85" s="415"/>
    </row>
    <row r="86" spans="1:8">
      <c r="A86" s="415"/>
      <c r="B86" s="415"/>
      <c r="C86" s="415"/>
      <c r="D86" s="415"/>
      <c r="E86" s="415"/>
      <c r="F86" s="415"/>
      <c r="G86" s="415"/>
      <c r="H86" s="415"/>
    </row>
    <row r="87" spans="1:8">
      <c r="A87" s="414" t="s">
        <v>385</v>
      </c>
      <c r="B87" s="415"/>
      <c r="C87" s="415"/>
      <c r="D87" s="415"/>
      <c r="E87" s="415"/>
      <c r="F87" s="415"/>
      <c r="G87" s="415"/>
      <c r="H87" s="415"/>
    </row>
    <row r="88" spans="1:8">
      <c r="A88" s="415"/>
      <c r="B88" s="415"/>
      <c r="C88" s="415"/>
      <c r="D88" s="415"/>
      <c r="E88" s="415"/>
      <c r="F88" s="415"/>
      <c r="G88" s="415"/>
      <c r="H88" s="415"/>
    </row>
    <row r="89" spans="1:8">
      <c r="A89" s="415"/>
      <c r="B89" s="415"/>
      <c r="C89" s="415"/>
      <c r="D89" s="415"/>
      <c r="E89" s="415"/>
      <c r="F89" s="415"/>
      <c r="G89" s="415"/>
      <c r="H89" s="415"/>
    </row>
    <row r="90" spans="1:8">
      <c r="A90" s="415"/>
      <c r="B90" s="415"/>
      <c r="C90" s="415"/>
      <c r="D90" s="415"/>
      <c r="E90" s="415"/>
      <c r="F90" s="415"/>
      <c r="G90" s="415"/>
      <c r="H90" s="415"/>
    </row>
    <row r="91" spans="1:8">
      <c r="A91" s="367"/>
      <c r="B91" s="373" t="s">
        <v>348</v>
      </c>
      <c r="C91" s="373" t="s">
        <v>349</v>
      </c>
      <c r="D91" s="373" t="s">
        <v>350</v>
      </c>
      <c r="E91" s="373" t="s">
        <v>351</v>
      </c>
      <c r="F91" s="373" t="s">
        <v>352</v>
      </c>
      <c r="G91" s="373" t="s">
        <v>353</v>
      </c>
    </row>
    <row r="92" spans="1:8">
      <c r="A92" s="368" t="s">
        <v>354</v>
      </c>
      <c r="B92" s="372">
        <v>491560000</v>
      </c>
      <c r="C92" s="372">
        <v>510230000</v>
      </c>
      <c r="D92" s="372">
        <v>529610000</v>
      </c>
      <c r="E92" s="372">
        <v>549730000</v>
      </c>
      <c r="F92" s="372">
        <v>570610000</v>
      </c>
      <c r="G92" s="372">
        <v>592290000</v>
      </c>
    </row>
    <row r="93" spans="1:8">
      <c r="A93" s="368" t="s">
        <v>355</v>
      </c>
      <c r="B93" s="372">
        <v>156888200.08548775</v>
      </c>
      <c r="C93" s="372">
        <v>151526358.81712329</v>
      </c>
      <c r="D93" s="372">
        <v>150367041.7861256</v>
      </c>
      <c r="E93" s="372">
        <v>150475727.75778162</v>
      </c>
      <c r="F93" s="372">
        <v>149497554.01287732</v>
      </c>
      <c r="G93" s="372">
        <v>148265779.66744223</v>
      </c>
    </row>
    <row r="94" spans="1:8">
      <c r="A94" s="368" t="s">
        <v>356</v>
      </c>
      <c r="B94" s="353">
        <v>0.31916388657638489</v>
      </c>
      <c r="C94" s="354">
        <v>0.29697657687145657</v>
      </c>
      <c r="D94" s="354">
        <v>0.28392032209762957</v>
      </c>
      <c r="E94" s="354">
        <v>0.27372660716675756</v>
      </c>
      <c r="F94" s="354">
        <v>0.26199602883383977</v>
      </c>
      <c r="G94" s="353">
        <v>0.2503263260690578</v>
      </c>
    </row>
    <row r="96" spans="1:8">
      <c r="A96" s="414" t="s">
        <v>386</v>
      </c>
      <c r="B96" s="415"/>
      <c r="C96" s="415"/>
      <c r="D96" s="415"/>
      <c r="E96" s="415"/>
      <c r="F96" s="415"/>
      <c r="G96" s="415"/>
      <c r="H96" s="415"/>
    </row>
    <row r="97" spans="1:8">
      <c r="A97" s="415"/>
      <c r="B97" s="415"/>
      <c r="C97" s="415"/>
      <c r="D97" s="415"/>
      <c r="E97" s="415"/>
      <c r="F97" s="415"/>
      <c r="G97" s="415"/>
      <c r="H97" s="415"/>
    </row>
    <row r="98" spans="1:8">
      <c r="A98" s="415"/>
      <c r="B98" s="415"/>
      <c r="C98" s="415"/>
      <c r="D98" s="415"/>
      <c r="E98" s="415"/>
      <c r="F98" s="415"/>
      <c r="G98" s="415"/>
      <c r="H98" s="415"/>
    </row>
    <row r="99" spans="1:8">
      <c r="A99" s="415"/>
      <c r="B99" s="415"/>
      <c r="C99" s="415"/>
      <c r="D99" s="415"/>
      <c r="E99" s="415"/>
      <c r="F99" s="415"/>
      <c r="G99" s="415"/>
      <c r="H99" s="415"/>
    </row>
    <row r="100" spans="1:8">
      <c r="A100" s="415"/>
      <c r="B100" s="415"/>
      <c r="C100" s="415"/>
      <c r="D100" s="415"/>
      <c r="E100" s="415"/>
      <c r="F100" s="415"/>
      <c r="G100" s="415"/>
      <c r="H100" s="415"/>
    </row>
    <row r="101" spans="1:8">
      <c r="A101" s="415"/>
      <c r="B101" s="415"/>
      <c r="C101" s="415"/>
      <c r="D101" s="415"/>
      <c r="E101" s="415"/>
      <c r="F101" s="415"/>
      <c r="G101" s="415"/>
      <c r="H101" s="415"/>
    </row>
    <row r="103" spans="1:8">
      <c r="A103" s="371"/>
      <c r="B103" s="370" t="s">
        <v>357</v>
      </c>
      <c r="C103" s="370" t="s">
        <v>358</v>
      </c>
      <c r="D103" s="370" t="s">
        <v>359</v>
      </c>
      <c r="E103" s="370" t="s">
        <v>360</v>
      </c>
      <c r="F103" s="370" t="s">
        <v>361</v>
      </c>
      <c r="G103" s="355" t="s">
        <v>362</v>
      </c>
    </row>
    <row r="104" spans="1:8">
      <c r="A104" s="365" t="s">
        <v>363</v>
      </c>
      <c r="B104" s="416"/>
      <c r="C104" s="356">
        <v>198030000</v>
      </c>
      <c r="D104" s="356">
        <v>209370000</v>
      </c>
      <c r="E104" s="356">
        <v>220410000</v>
      </c>
      <c r="F104" s="356">
        <v>232480000</v>
      </c>
      <c r="G104" s="356">
        <v>245130000</v>
      </c>
    </row>
    <row r="105" spans="1:8">
      <c r="A105" s="365" t="s">
        <v>364</v>
      </c>
      <c r="B105" s="417"/>
      <c r="C105" s="356">
        <v>142977660</v>
      </c>
      <c r="D105" s="356">
        <v>151165140</v>
      </c>
      <c r="E105" s="356">
        <v>159136020</v>
      </c>
      <c r="F105" s="356">
        <v>167850560</v>
      </c>
      <c r="G105" s="356">
        <v>176983860</v>
      </c>
    </row>
    <row r="106" spans="1:8">
      <c r="A106" s="365" t="s">
        <v>365</v>
      </c>
      <c r="B106" s="417"/>
      <c r="C106" s="356">
        <v>3750000</v>
      </c>
      <c r="D106" s="356">
        <v>2812500</v>
      </c>
      <c r="E106" s="356">
        <v>2531250</v>
      </c>
      <c r="F106" s="356">
        <v>1476562</v>
      </c>
      <c r="G106" s="356">
        <v>1107422</v>
      </c>
    </row>
    <row r="107" spans="1:8">
      <c r="A107" s="365" t="s">
        <v>366</v>
      </c>
      <c r="B107" s="417"/>
      <c r="C107" s="357">
        <v>1042500.0000000001</v>
      </c>
      <c r="D107" s="357">
        <v>781875.00000000012</v>
      </c>
      <c r="E107" s="357">
        <v>703687.50000000012</v>
      </c>
      <c r="F107" s="357">
        <v>410484.23600000003</v>
      </c>
      <c r="G107" s="357">
        <v>307863.31600000005</v>
      </c>
    </row>
    <row r="108" spans="1:8">
      <c r="A108" s="366" t="s">
        <v>367</v>
      </c>
      <c r="B108" s="417"/>
      <c r="C108" s="358">
        <v>144020160</v>
      </c>
      <c r="D108" s="358">
        <v>151947015</v>
      </c>
      <c r="E108" s="358">
        <v>159839707.5</v>
      </c>
      <c r="F108" s="358">
        <v>168261044.236</v>
      </c>
      <c r="G108" s="358">
        <v>177291723.31600001</v>
      </c>
    </row>
    <row r="109" spans="1:8">
      <c r="A109" s="365" t="s">
        <v>368</v>
      </c>
      <c r="B109" s="418"/>
      <c r="C109" s="359">
        <v>0.90900000000000003</v>
      </c>
      <c r="D109" s="359">
        <v>0.82599999999999996</v>
      </c>
      <c r="E109" s="359">
        <v>0.751</v>
      </c>
      <c r="F109" s="359">
        <v>0.68300000000000005</v>
      </c>
      <c r="G109" s="359">
        <v>0.62</v>
      </c>
    </row>
    <row r="110" spans="1:8">
      <c r="A110" s="365" t="s">
        <v>369</v>
      </c>
      <c r="B110" s="360">
        <v>598712173</v>
      </c>
      <c r="C110" s="356">
        <v>129966692</v>
      </c>
      <c r="D110" s="356">
        <v>124862405</v>
      </c>
      <c r="E110" s="356">
        <v>119511151</v>
      </c>
      <c r="F110" s="356">
        <v>114641932</v>
      </c>
      <c r="G110" s="356">
        <v>109729993</v>
      </c>
    </row>
    <row r="111" spans="1:8">
      <c r="A111" s="365" t="s">
        <v>370</v>
      </c>
      <c r="B111" s="360">
        <v>2593164</v>
      </c>
      <c r="C111" s="361">
        <v>947632</v>
      </c>
      <c r="D111" s="361">
        <v>645828</v>
      </c>
      <c r="E111" s="361">
        <v>528469</v>
      </c>
      <c r="F111" s="361">
        <v>280360</v>
      </c>
      <c r="G111" s="361">
        <v>190875</v>
      </c>
    </row>
    <row r="112" spans="1:8">
      <c r="A112" s="365" t="s">
        <v>371</v>
      </c>
      <c r="B112" s="362">
        <v>601305337</v>
      </c>
      <c r="C112" s="363">
        <v>130914324</v>
      </c>
      <c r="D112" s="363">
        <v>125508233</v>
      </c>
      <c r="E112" s="363">
        <v>120039620</v>
      </c>
      <c r="F112" s="363">
        <v>114922292</v>
      </c>
      <c r="G112" s="363">
        <v>109920868</v>
      </c>
    </row>
    <row r="113" spans="1:7">
      <c r="A113" s="365" t="s">
        <v>372</v>
      </c>
      <c r="B113" s="363">
        <v>-15000000</v>
      </c>
      <c r="C113" s="364"/>
      <c r="D113" s="364"/>
      <c r="E113" s="364"/>
      <c r="F113" s="364"/>
      <c r="G113" s="364"/>
    </row>
  </sheetData>
  <mergeCells count="12">
    <mergeCell ref="A1:H5"/>
    <mergeCell ref="A6:H7"/>
    <mergeCell ref="A11:H25"/>
    <mergeCell ref="A26:H28"/>
    <mergeCell ref="A29:H43"/>
    <mergeCell ref="A96:H101"/>
    <mergeCell ref="B104:B109"/>
    <mergeCell ref="A75:H86"/>
    <mergeCell ref="A87:H90"/>
    <mergeCell ref="A44:H46"/>
    <mergeCell ref="A51:H53"/>
    <mergeCell ref="A62:H64"/>
  </mergeCells>
  <phoneticPr fontId="2"/>
  <pageMargins left="0.70866141732283472" right="0.31496062992125984" top="0.55118110236220474" bottom="0.15748031496062992" header="0.31496062992125984" footer="0.31496062992125984"/>
  <pageSetup paperSize="9" scale="46" fitToHeight="0"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L277"/>
  <sheetViews>
    <sheetView showGridLines="0" zoomScale="85" zoomScaleNormal="85" workbookViewId="0">
      <selection activeCell="C218" sqref="C218"/>
    </sheetView>
  </sheetViews>
  <sheetFormatPr defaultColWidth="11.25" defaultRowHeight="18.75"/>
  <cols>
    <col min="1" max="1" width="25.375" style="80" customWidth="1"/>
    <col min="2" max="2" width="21.125" style="80" customWidth="1"/>
    <col min="3" max="3" width="16.875" style="80" customWidth="1"/>
    <col min="4" max="4" width="15.75" style="80" customWidth="1"/>
    <col min="5" max="8" width="13.125" style="80" customWidth="1"/>
    <col min="9" max="16384" width="11.25" style="80"/>
  </cols>
  <sheetData>
    <row r="1" spans="1:9" ht="11.25" customHeight="1">
      <c r="A1" s="426" t="s">
        <v>79</v>
      </c>
      <c r="B1" s="426"/>
      <c r="C1" s="426"/>
      <c r="D1" s="426"/>
      <c r="E1" s="426"/>
      <c r="F1" s="426"/>
      <c r="G1" s="426"/>
      <c r="H1" s="426"/>
      <c r="I1" s="426"/>
    </row>
    <row r="2" spans="1:9" ht="11.25" customHeight="1">
      <c r="A2" s="426"/>
      <c r="B2" s="426"/>
      <c r="C2" s="426"/>
      <c r="D2" s="426"/>
      <c r="E2" s="426"/>
      <c r="F2" s="426"/>
      <c r="G2" s="426"/>
      <c r="H2" s="426"/>
      <c r="I2" s="426"/>
    </row>
    <row r="3" spans="1:9" ht="14.25" customHeight="1">
      <c r="A3" s="81"/>
      <c r="B3" s="82"/>
      <c r="C3" s="83"/>
      <c r="D3" s="83"/>
      <c r="E3" s="83"/>
      <c r="F3" s="83"/>
      <c r="G3" s="83"/>
      <c r="H3" s="83"/>
      <c r="I3" s="84"/>
    </row>
    <row r="4" spans="1:9" ht="22.5" customHeight="1">
      <c r="A4" s="85" t="s">
        <v>80</v>
      </c>
      <c r="B4" s="82"/>
      <c r="C4" s="83"/>
      <c r="D4" s="83"/>
      <c r="E4" s="83"/>
      <c r="F4" s="83"/>
      <c r="G4" s="83"/>
      <c r="H4" s="83"/>
      <c r="I4" s="84"/>
    </row>
    <row r="5" spans="1:9" ht="14.25" customHeight="1">
      <c r="A5" s="81"/>
      <c r="B5" s="82"/>
      <c r="C5" s="83"/>
      <c r="D5" s="83"/>
      <c r="E5" s="83"/>
      <c r="F5" s="83"/>
      <c r="G5" s="83"/>
      <c r="H5" s="83"/>
      <c r="I5" s="84"/>
    </row>
    <row r="6" spans="1:9" ht="19.5">
      <c r="A6" s="86" t="s">
        <v>81</v>
      </c>
      <c r="B6" s="87"/>
      <c r="C6" s="87"/>
      <c r="D6" s="87"/>
      <c r="E6" s="87"/>
      <c r="F6" s="87"/>
      <c r="G6" s="87"/>
      <c r="H6" s="87"/>
      <c r="I6" s="88"/>
    </row>
    <row r="7" spans="1:9" ht="7.5" customHeight="1">
      <c r="A7" s="89"/>
      <c r="B7" s="90"/>
      <c r="C7" s="90"/>
      <c r="D7" s="90"/>
      <c r="E7" s="90"/>
      <c r="F7" s="90"/>
      <c r="G7" s="90"/>
      <c r="H7" s="90"/>
    </row>
    <row r="8" spans="1:9" ht="21.75" customHeight="1">
      <c r="A8" s="91" t="s">
        <v>82</v>
      </c>
      <c r="B8" s="92"/>
      <c r="C8" s="90"/>
      <c r="D8" s="90"/>
      <c r="E8" s="90"/>
      <c r="F8" s="90"/>
      <c r="G8" s="90"/>
      <c r="H8" s="90"/>
    </row>
    <row r="9" spans="1:9" ht="10.5" customHeight="1">
      <c r="A9" s="91"/>
      <c r="B9" s="92"/>
      <c r="C9" s="90"/>
      <c r="D9" s="90"/>
      <c r="E9" s="90"/>
      <c r="F9" s="90"/>
      <c r="G9" s="90"/>
      <c r="H9" s="90"/>
    </row>
    <row r="10" spans="1:9" ht="16.5" customHeight="1">
      <c r="A10" s="93" t="s">
        <v>83</v>
      </c>
      <c r="B10" s="92"/>
      <c r="C10" s="90"/>
      <c r="D10" s="90"/>
      <c r="E10" s="90"/>
      <c r="F10" s="90"/>
      <c r="G10" s="90"/>
      <c r="H10" s="90"/>
    </row>
    <row r="11" spans="1:9" ht="16.5" customHeight="1">
      <c r="A11" s="93" t="s">
        <v>84</v>
      </c>
      <c r="B11" s="93" t="s">
        <v>85</v>
      </c>
      <c r="C11" s="90"/>
      <c r="D11" s="90"/>
      <c r="E11" s="90"/>
      <c r="F11" s="90"/>
      <c r="G11" s="90"/>
      <c r="H11" s="90"/>
    </row>
    <row r="12" spans="1:9" ht="16.5" customHeight="1">
      <c r="A12" s="93" t="s">
        <v>86</v>
      </c>
      <c r="B12" s="93" t="s">
        <v>87</v>
      </c>
      <c r="C12" s="90"/>
      <c r="D12" s="90"/>
      <c r="E12" s="90"/>
      <c r="F12" s="90"/>
      <c r="G12" s="90"/>
      <c r="H12" s="90"/>
    </row>
    <row r="13" spans="1:9">
      <c r="A13" s="427" t="s">
        <v>88</v>
      </c>
    </row>
    <row r="14" spans="1:9" ht="24">
      <c r="A14" s="428"/>
      <c r="B14" s="429"/>
      <c r="C14" s="430"/>
      <c r="H14" s="94" t="s">
        <v>89</v>
      </c>
    </row>
    <row r="15" spans="1:9" ht="45.75" customHeight="1" thickBot="1">
      <c r="A15" s="95" t="s">
        <v>90</v>
      </c>
      <c r="B15" s="276" t="s">
        <v>91</v>
      </c>
      <c r="C15" s="96" t="s">
        <v>92</v>
      </c>
      <c r="D15" s="97" t="s">
        <v>93</v>
      </c>
      <c r="E15" s="98" t="s">
        <v>94</v>
      </c>
      <c r="F15" s="98" t="s">
        <v>95</v>
      </c>
      <c r="G15" s="98" t="s">
        <v>96</v>
      </c>
      <c r="H15" s="98" t="s">
        <v>97</v>
      </c>
    </row>
    <row r="16" spans="1:9" ht="31.5" customHeight="1" thickTop="1">
      <c r="A16" s="99" t="s">
        <v>98</v>
      </c>
      <c r="B16" s="277">
        <f>C16</f>
        <v>491560000</v>
      </c>
      <c r="C16" s="277">
        <f>ﾃﾝﾌﾟﾚｰﾄ!D2*10000</f>
        <v>491560000</v>
      </c>
      <c r="D16" s="100">
        <f>TRUNC($C$16*D45,-4)</f>
        <v>511220000</v>
      </c>
      <c r="E16" s="100">
        <f>TRUNC($D$16*E45,-4)</f>
        <v>531660000</v>
      </c>
      <c r="F16" s="100">
        <f>TRUNC($E$16*F45,-4)</f>
        <v>552920000</v>
      </c>
      <c r="G16" s="100">
        <f>TRUNC($F$16*G45,-4)</f>
        <v>575030000</v>
      </c>
      <c r="H16" s="100">
        <f>TRUNC($G$16*H45,-4)</f>
        <v>598030000</v>
      </c>
      <c r="I16" s="101"/>
    </row>
    <row r="17" spans="1:9" ht="31.5" customHeight="1" thickBot="1">
      <c r="A17" s="102" t="s">
        <v>99</v>
      </c>
      <c r="B17" s="103"/>
      <c r="C17" s="104"/>
      <c r="D17" s="105">
        <f>(D16-$C$16)/$C$16</f>
        <v>3.9995117584831964E-2</v>
      </c>
      <c r="E17" s="105">
        <f>(E16-$C$16)/$C$16</f>
        <v>8.1577020099275768E-2</v>
      </c>
      <c r="F17" s="105">
        <f>(F16-$C$16)/$C$16</f>
        <v>0.12482708112946538</v>
      </c>
      <c r="G17" s="105">
        <f>(G16-$C$16)/$C$16</f>
        <v>0.16980633086500121</v>
      </c>
      <c r="H17" s="105">
        <f>(H16-$C$16)/$C$16</f>
        <v>0.21659614289201726</v>
      </c>
      <c r="I17" s="101"/>
    </row>
    <row r="18" spans="1:9" ht="31.5" customHeight="1">
      <c r="A18" s="106" t="s">
        <v>100</v>
      </c>
      <c r="B18" s="278">
        <f>C18</f>
        <v>220194712</v>
      </c>
      <c r="C18" s="278">
        <f>ﾃﾝﾌﾟﾚｰﾄ!D14*ﾃﾝﾌﾟﾚｰﾄ!I11+ﾃﾝﾌﾟﾚｰﾄ!D15*ﾃﾝﾌﾟﾚｰﾄ!I12+(ﾃﾝﾌﾟﾚｰﾄ!D3)*10000</f>
        <v>220194712</v>
      </c>
      <c r="D18" s="107">
        <f>TRUNC(D16*D56,-4)</f>
        <v>221900000</v>
      </c>
      <c r="E18" s="107">
        <f>TRUNC(E16*E56,-4)</f>
        <v>227190000</v>
      </c>
      <c r="F18" s="107">
        <f>TRUNC(F16*F56,-4)</f>
        <v>233840000</v>
      </c>
      <c r="G18" s="107">
        <f>TRUNC(G16*G56,-4)</f>
        <v>241300000</v>
      </c>
      <c r="H18" s="107">
        <f>TRUNC(H16*H56,-4)</f>
        <v>249400000</v>
      </c>
      <c r="I18" s="101"/>
    </row>
    <row r="19" spans="1:9" ht="31.5" customHeight="1">
      <c r="A19" s="108"/>
      <c r="B19" s="279">
        <f t="shared" ref="B19:H19" si="0">B18/B16</f>
        <v>0.4479508340792579</v>
      </c>
      <c r="C19" s="109">
        <f t="shared" si="0"/>
        <v>0.4479508340792579</v>
      </c>
      <c r="D19" s="109">
        <f t="shared" si="0"/>
        <v>0.43405970032471342</v>
      </c>
      <c r="E19" s="109">
        <f t="shared" si="0"/>
        <v>0.42732197268931271</v>
      </c>
      <c r="F19" s="109">
        <f t="shared" si="0"/>
        <v>0.42291832453157779</v>
      </c>
      <c r="G19" s="109">
        <f t="shared" si="0"/>
        <v>0.41963028015929604</v>
      </c>
      <c r="H19" s="110">
        <f t="shared" si="0"/>
        <v>0.41703593465210775</v>
      </c>
      <c r="I19" s="101"/>
    </row>
    <row r="20" spans="1:9" ht="31.5" customHeight="1">
      <c r="A20" s="111" t="s">
        <v>101</v>
      </c>
      <c r="B20" s="280">
        <f t="shared" ref="B20:H20" si="1">(B16-B18)</f>
        <v>271365288</v>
      </c>
      <c r="C20" s="112">
        <f>(C16-C18)</f>
        <v>271365288</v>
      </c>
      <c r="D20" s="113">
        <f t="shared" si="1"/>
        <v>289320000</v>
      </c>
      <c r="E20" s="114">
        <f t="shared" si="1"/>
        <v>304470000</v>
      </c>
      <c r="F20" s="114">
        <f t="shared" si="1"/>
        <v>319080000</v>
      </c>
      <c r="G20" s="114">
        <f t="shared" si="1"/>
        <v>333730000</v>
      </c>
      <c r="H20" s="115">
        <f t="shared" si="1"/>
        <v>348630000</v>
      </c>
      <c r="I20" s="101"/>
    </row>
    <row r="21" spans="1:9" ht="31.5" customHeight="1">
      <c r="A21" s="111" t="s">
        <v>102</v>
      </c>
      <c r="B21" s="281">
        <f>C21</f>
        <v>86610000</v>
      </c>
      <c r="C21" s="281">
        <f>ﾃﾝﾌﾟﾚｰﾄ!D4*10000</f>
        <v>86610000</v>
      </c>
      <c r="D21" s="116">
        <f>TRUNC($C$21+D66+E95+D74,-4)</f>
        <v>90740000</v>
      </c>
      <c r="E21" s="116">
        <f>TRUNC($D$21+E66+F95+E74,-4)</f>
        <v>93930000</v>
      </c>
      <c r="F21" s="116">
        <f>TRUNC($E$21+F66+G95+F74,-4)</f>
        <v>96840000</v>
      </c>
      <c r="G21" s="116">
        <f>TRUNC($F$21+G66+H95+G74,-4)</f>
        <v>98690000</v>
      </c>
      <c r="H21" s="116">
        <f>TRUNC($G$21+H66+I95+H74,-4)</f>
        <v>100180000</v>
      </c>
      <c r="I21" s="101"/>
    </row>
    <row r="22" spans="1:9" ht="31.5" customHeight="1">
      <c r="A22" s="117" t="s">
        <v>103</v>
      </c>
      <c r="B22" s="280">
        <f>(B20-B21)</f>
        <v>184755288</v>
      </c>
      <c r="C22" s="112">
        <f>(C20-C21)</f>
        <v>184755288</v>
      </c>
      <c r="D22" s="113">
        <f>D20-D21</f>
        <v>198580000</v>
      </c>
      <c r="E22" s="114">
        <f>E20-E21</f>
        <v>210540000</v>
      </c>
      <c r="F22" s="114">
        <f>F20-F21</f>
        <v>222240000</v>
      </c>
      <c r="G22" s="114">
        <f>G20-G21</f>
        <v>235040000</v>
      </c>
      <c r="H22" s="115">
        <f>H20-H21</f>
        <v>248450000</v>
      </c>
      <c r="I22" s="101"/>
    </row>
    <row r="23" spans="1:9" ht="31.5" customHeight="1" thickBot="1">
      <c r="A23" s="102" t="s">
        <v>99</v>
      </c>
      <c r="B23" s="103"/>
      <c r="C23" s="104"/>
      <c r="D23" s="105">
        <f>TRUNC(((D22-$C$22)/ABS($C$22)),3)</f>
        <v>7.3999999999999996E-2</v>
      </c>
      <c r="E23" s="105">
        <f>TRUNC(((E22-$C$22)/ABS($C$22)),3)</f>
        <v>0.13900000000000001</v>
      </c>
      <c r="F23" s="105">
        <f>TRUNC(((F22-$C$22)/ABS($C$22)),3)</f>
        <v>0.20200000000000001</v>
      </c>
      <c r="G23" s="105">
        <f>TRUNC(((G22-$C$22)/ABS($C$22)),3)</f>
        <v>0.27200000000000002</v>
      </c>
      <c r="H23" s="105">
        <f>TRUNC(((H22-$C$22)/ABS($C$22)),3)</f>
        <v>0.34399999999999997</v>
      </c>
      <c r="I23" s="101"/>
    </row>
    <row r="24" spans="1:9" ht="31.5" customHeight="1" thickBot="1">
      <c r="A24" s="118" t="s">
        <v>104</v>
      </c>
      <c r="B24" s="282">
        <f>C24</f>
        <v>0</v>
      </c>
      <c r="C24" s="282">
        <v>0</v>
      </c>
      <c r="D24" s="119">
        <f>TRUNC(D16*$B$106,-4)</f>
        <v>10220000</v>
      </c>
      <c r="E24" s="120">
        <f>TRUNC(E16*$B$106+B114,-4)</f>
        <v>10930000</v>
      </c>
      <c r="F24" s="120">
        <f>TRUNC(F16*$B$106+B114,-4)</f>
        <v>11350000</v>
      </c>
      <c r="G24" s="120">
        <f>TRUNC(G16*$B$106+B114,-4)</f>
        <v>11800000</v>
      </c>
      <c r="H24" s="120">
        <f>TRUNC(H16*$B$106+B114,-4)</f>
        <v>12260000</v>
      </c>
      <c r="I24" s="101"/>
    </row>
    <row r="25" spans="1:9" ht="31.5" customHeight="1">
      <c r="A25" s="121" t="s">
        <v>105</v>
      </c>
      <c r="B25" s="122">
        <f t="shared" ref="B25:H25" si="2">(B22-B24)</f>
        <v>184755288</v>
      </c>
      <c r="C25" s="123">
        <f>(C22-C24)</f>
        <v>184755288</v>
      </c>
      <c r="D25" s="124">
        <f t="shared" si="2"/>
        <v>188360000</v>
      </c>
      <c r="E25" s="125">
        <f t="shared" si="2"/>
        <v>199610000</v>
      </c>
      <c r="F25" s="125">
        <f t="shared" si="2"/>
        <v>210890000</v>
      </c>
      <c r="G25" s="126">
        <f t="shared" si="2"/>
        <v>223240000</v>
      </c>
      <c r="H25" s="127">
        <f t="shared" si="2"/>
        <v>236190000</v>
      </c>
      <c r="I25" s="101"/>
    </row>
    <row r="26" spans="1:9" ht="31.5" customHeight="1" thickBot="1">
      <c r="A26" s="102" t="s">
        <v>99</v>
      </c>
      <c r="B26" s="103"/>
      <c r="C26" s="104"/>
      <c r="D26" s="128">
        <f>TRUNC((D25-$C$25)/ABS($C$25),3)</f>
        <v>1.9E-2</v>
      </c>
      <c r="E26" s="128">
        <f>TRUNC((E25-$C$25)/ABS($C$25),3)</f>
        <v>0.08</v>
      </c>
      <c r="F26" s="128">
        <f>TRUNC((F25-$C$25)/ABS($C$25),3)</f>
        <v>0.14099999999999999</v>
      </c>
      <c r="G26" s="128">
        <f>TRUNC((G25-$C$25)/ABS($C$25),3)</f>
        <v>0.20799999999999999</v>
      </c>
      <c r="H26" s="128">
        <f>TRUNC((H25-$C$25)/ABS($C$25),3)</f>
        <v>0.27800000000000002</v>
      </c>
      <c r="I26" s="101" t="s">
        <v>106</v>
      </c>
    </row>
    <row r="27" spans="1:9" ht="31.5" customHeight="1">
      <c r="A27" s="129" t="s">
        <v>107</v>
      </c>
      <c r="B27" s="277">
        <f>C27</f>
        <v>150720000</v>
      </c>
      <c r="C27" s="277">
        <f>(ﾃﾝﾌﾟﾚｰﾄ!D3+ﾃﾝﾌﾟﾚｰﾄ!D4)*10000</f>
        <v>150720000</v>
      </c>
      <c r="D27" s="130">
        <f>C27+D66</f>
        <v>151102678.15384614</v>
      </c>
      <c r="E27" s="131">
        <f>D27+E66</f>
        <v>151485356.30769229</v>
      </c>
      <c r="F27" s="131">
        <f>E27+F66</f>
        <v>151868034.46153843</v>
      </c>
      <c r="G27" s="131">
        <f>F27+G66</f>
        <v>152250712.61538458</v>
      </c>
      <c r="H27" s="131">
        <f>G27+H66</f>
        <v>152633390.76923072</v>
      </c>
      <c r="I27" s="101"/>
    </row>
    <row r="28" spans="1:9" ht="31.5" customHeight="1" thickBot="1">
      <c r="A28" s="132" t="s">
        <v>108</v>
      </c>
      <c r="B28" s="282">
        <f>C28</f>
        <v>0</v>
      </c>
      <c r="C28" s="282"/>
      <c r="D28" s="133">
        <f>$C$28+E95</f>
        <v>3750000</v>
      </c>
      <c r="E28" s="133">
        <f>$C$28+F95</f>
        <v>2812500</v>
      </c>
      <c r="F28" s="133">
        <f>$C$28+G95</f>
        <v>2531250</v>
      </c>
      <c r="G28" s="133">
        <f>$C$28+H95</f>
        <v>1476562</v>
      </c>
      <c r="H28" s="134">
        <f>$C$28+I95</f>
        <v>1107422</v>
      </c>
      <c r="I28" s="101"/>
    </row>
    <row r="29" spans="1:9" ht="31.5" customHeight="1">
      <c r="A29" s="121" t="s">
        <v>109</v>
      </c>
      <c r="B29" s="122">
        <f t="shared" ref="B29:H29" si="3">(B22+B27+B28)</f>
        <v>335475288</v>
      </c>
      <c r="C29" s="123">
        <f t="shared" si="3"/>
        <v>335475288</v>
      </c>
      <c r="D29" s="124">
        <f t="shared" si="3"/>
        <v>353432678.15384614</v>
      </c>
      <c r="E29" s="126">
        <f t="shared" si="3"/>
        <v>364837856.30769229</v>
      </c>
      <c r="F29" s="126">
        <f t="shared" si="3"/>
        <v>376639284.46153843</v>
      </c>
      <c r="G29" s="126">
        <f t="shared" si="3"/>
        <v>388767274.61538458</v>
      </c>
      <c r="H29" s="127">
        <f t="shared" si="3"/>
        <v>402190812.76923072</v>
      </c>
      <c r="I29" s="101"/>
    </row>
    <row r="30" spans="1:9" ht="31.5" customHeight="1" thickBot="1">
      <c r="A30" s="102" t="s">
        <v>99</v>
      </c>
      <c r="B30" s="103"/>
      <c r="C30" s="104"/>
      <c r="D30" s="135">
        <f>TRUNC((D29-$C$29)/ABS($C$29),3)</f>
        <v>5.2999999999999999E-2</v>
      </c>
      <c r="E30" s="135">
        <f>TRUNC((E29-$C$29)/ABS($C$29),3)</f>
        <v>8.6999999999999994E-2</v>
      </c>
      <c r="F30" s="135">
        <f>TRUNC((F29-$C$29)/ABS($C$29),3)</f>
        <v>0.122</v>
      </c>
      <c r="G30" s="135">
        <f>TRUNC((G29-$C$29)/ABS($C$29),3)</f>
        <v>0.158</v>
      </c>
      <c r="H30" s="136">
        <f>TRUNC((H29-$C$29)/ABS($C$29),3)</f>
        <v>0.19800000000000001</v>
      </c>
      <c r="I30" s="101" t="s">
        <v>110</v>
      </c>
    </row>
    <row r="31" spans="1:9" ht="31.5" customHeight="1">
      <c r="A31" s="137" t="s">
        <v>111</v>
      </c>
      <c r="B31" s="138"/>
      <c r="C31" s="139"/>
      <c r="D31" s="140">
        <f>B95</f>
        <v>15000000</v>
      </c>
      <c r="E31" s="141"/>
      <c r="F31" s="141"/>
      <c r="G31" s="141"/>
      <c r="H31" s="142"/>
      <c r="I31" s="101"/>
    </row>
    <row r="32" spans="1:9" ht="31.5" customHeight="1" thickBot="1">
      <c r="A32" s="143" t="s">
        <v>112</v>
      </c>
      <c r="B32" s="144"/>
      <c r="C32" s="145"/>
      <c r="D32" s="146"/>
      <c r="E32" s="146"/>
      <c r="F32" s="146"/>
      <c r="G32" s="147">
        <f>((E22+E28+F22+F28+G22+G28)-3*(D22+D28))/3/D31</f>
        <v>1.5033402666666666</v>
      </c>
      <c r="H32" s="148"/>
      <c r="I32" s="101"/>
    </row>
    <row r="33" spans="1:9" ht="1.5" customHeight="1">
      <c r="A33" s="149"/>
      <c r="B33" s="150"/>
      <c r="C33" s="151"/>
      <c r="D33" s="90"/>
      <c r="E33" s="90"/>
      <c r="F33" s="90"/>
      <c r="G33" s="90"/>
      <c r="H33" s="90"/>
    </row>
    <row r="34" spans="1:9" ht="4.5" customHeight="1">
      <c r="A34" s="152"/>
      <c r="B34" s="153"/>
      <c r="C34" s="154"/>
      <c r="D34" s="90"/>
      <c r="E34" s="90"/>
      <c r="F34" s="90"/>
      <c r="G34" s="90"/>
      <c r="H34" s="90"/>
    </row>
    <row r="35" spans="1:9" ht="19.5">
      <c r="A35" s="155"/>
      <c r="B35" s="90"/>
      <c r="C35" s="156"/>
      <c r="D35" s="156"/>
      <c r="E35" s="156"/>
      <c r="F35" s="156"/>
      <c r="G35" s="156"/>
      <c r="H35" s="156"/>
    </row>
    <row r="36" spans="1:9" ht="14.25" customHeight="1">
      <c r="A36" s="431" t="s">
        <v>113</v>
      </c>
      <c r="B36" s="157" t="s">
        <v>114</v>
      </c>
      <c r="C36" s="158">
        <f t="shared" ref="C36:H36" si="4">C22/C16</f>
        <v>0.37585500854422654</v>
      </c>
      <c r="D36" s="158">
        <f t="shared" si="4"/>
        <v>0.38844333163804234</v>
      </c>
      <c r="E36" s="158">
        <f t="shared" si="4"/>
        <v>0.39600496557950571</v>
      </c>
      <c r="F36" s="158">
        <f t="shared" si="4"/>
        <v>0.40193879765608043</v>
      </c>
      <c r="G36" s="158">
        <f t="shared" si="4"/>
        <v>0.40874389162304575</v>
      </c>
      <c r="H36" s="158">
        <f t="shared" si="4"/>
        <v>0.41544738558266309</v>
      </c>
      <c r="I36" s="82"/>
    </row>
    <row r="37" spans="1:9" ht="14.25" customHeight="1">
      <c r="A37" s="431"/>
      <c r="B37" s="157" t="s">
        <v>115</v>
      </c>
      <c r="C37" s="159">
        <f t="shared" ref="C37:H37" si="5">C25/C16</f>
        <v>0.37585500854422654</v>
      </c>
      <c r="D37" s="159">
        <f t="shared" si="5"/>
        <v>0.3684519385000587</v>
      </c>
      <c r="E37" s="159">
        <f t="shared" si="5"/>
        <v>0.3754467140653801</v>
      </c>
      <c r="F37" s="159">
        <f t="shared" si="5"/>
        <v>0.38141141575634813</v>
      </c>
      <c r="G37" s="159">
        <f t="shared" si="5"/>
        <v>0.38822322313618418</v>
      </c>
      <c r="H37" s="159">
        <f t="shared" si="5"/>
        <v>0.3949467418022507</v>
      </c>
      <c r="I37" s="84"/>
    </row>
    <row r="38" spans="1:9" ht="14.25" customHeight="1">
      <c r="A38" s="81"/>
      <c r="B38" s="82"/>
      <c r="C38" s="83"/>
      <c r="D38" s="83"/>
      <c r="E38" s="83"/>
      <c r="F38" s="83"/>
      <c r="G38" s="83"/>
      <c r="H38" s="83"/>
      <c r="I38" s="84"/>
    </row>
    <row r="39" spans="1:9" ht="19.5">
      <c r="A39" s="93"/>
      <c r="B39" s="92"/>
      <c r="C39" s="90"/>
      <c r="D39" s="90"/>
      <c r="E39" s="90"/>
      <c r="F39" s="90"/>
      <c r="G39" s="90"/>
      <c r="H39" s="90"/>
    </row>
    <row r="40" spans="1:9" ht="19.5">
      <c r="A40" s="160" t="s">
        <v>116</v>
      </c>
      <c r="B40" s="88"/>
      <c r="C40" s="88"/>
      <c r="D40" s="88"/>
      <c r="E40" s="88"/>
      <c r="F40" s="88"/>
      <c r="G40" s="88"/>
      <c r="H40" s="88"/>
      <c r="I40" s="88"/>
    </row>
    <row r="41" spans="1:9" ht="8.25" customHeight="1"/>
    <row r="42" spans="1:9" ht="19.5" customHeight="1">
      <c r="C42" s="80" t="s">
        <v>270</v>
      </c>
      <c r="D42" s="283">
        <f>ﾃﾝﾌﾟﾚｰﾄ!D29/100</f>
        <v>1.2</v>
      </c>
    </row>
    <row r="43" spans="1:9" ht="12.75" customHeight="1"/>
    <row r="44" spans="1:9" ht="18.75" customHeight="1">
      <c r="A44" s="80" t="s">
        <v>117</v>
      </c>
      <c r="D44" s="161" t="s">
        <v>118</v>
      </c>
      <c r="E44" s="161" t="s">
        <v>119</v>
      </c>
      <c r="F44" s="161" t="s">
        <v>120</v>
      </c>
      <c r="G44" s="161" t="s">
        <v>121</v>
      </c>
      <c r="H44" s="161" t="s">
        <v>122</v>
      </c>
    </row>
    <row r="45" spans="1:9" ht="27.75" customHeight="1">
      <c r="B45" s="432" t="s">
        <v>123</v>
      </c>
      <c r="C45" s="433"/>
      <c r="D45" s="283">
        <f>1+($D$42-1)/5</f>
        <v>1.04</v>
      </c>
      <c r="E45" s="283">
        <f>1+($D$42-1)/5</f>
        <v>1.04</v>
      </c>
      <c r="F45" s="283">
        <f>1+($D$42-1)/5</f>
        <v>1.04</v>
      </c>
      <c r="G45" s="283">
        <f>1+($D$42-1)/5</f>
        <v>1.04</v>
      </c>
      <c r="H45" s="283">
        <f>1+($D$42-1)/5</f>
        <v>1.04</v>
      </c>
    </row>
    <row r="46" spans="1:9">
      <c r="A46" s="80" t="s">
        <v>124</v>
      </c>
      <c r="H46" s="80" t="s">
        <v>125</v>
      </c>
    </row>
    <row r="47" spans="1:9">
      <c r="A47" s="80" t="s">
        <v>126</v>
      </c>
    </row>
    <row r="49" spans="1:9" ht="19.5">
      <c r="A49" s="162" t="s">
        <v>127</v>
      </c>
      <c r="B49" s="88"/>
      <c r="C49" s="88"/>
      <c r="D49" s="88"/>
      <c r="E49" s="88"/>
      <c r="F49" s="88"/>
      <c r="G49" s="88"/>
      <c r="H49" s="88"/>
      <c r="I49" s="88"/>
    </row>
    <row r="51" spans="1:9">
      <c r="A51" s="80" t="s">
        <v>128</v>
      </c>
    </row>
    <row r="52" spans="1:9">
      <c r="A52" s="80" t="s">
        <v>129</v>
      </c>
    </row>
    <row r="53" spans="1:9" ht="16.5" customHeight="1">
      <c r="D53" s="423" t="s">
        <v>130</v>
      </c>
      <c r="E53" s="424"/>
      <c r="F53" s="424"/>
      <c r="G53" s="424"/>
      <c r="H53" s="425"/>
    </row>
    <row r="54" spans="1:9" ht="16.5" customHeight="1">
      <c r="A54" s="163"/>
      <c r="B54" s="164" t="s">
        <v>131</v>
      </c>
      <c r="C54" s="164" t="s">
        <v>132</v>
      </c>
      <c r="D54" s="165" t="s">
        <v>118</v>
      </c>
      <c r="E54" s="165" t="s">
        <v>119</v>
      </c>
      <c r="F54" s="165" t="s">
        <v>120</v>
      </c>
      <c r="G54" s="165" t="s">
        <v>121</v>
      </c>
      <c r="H54" s="165" t="s">
        <v>122</v>
      </c>
    </row>
    <row r="55" spans="1:9" s="90" customFormat="1" ht="23.25" customHeight="1">
      <c r="A55" s="166" t="s">
        <v>133</v>
      </c>
      <c r="B55" s="167">
        <f>B18/B16</f>
        <v>0.4479508340792579</v>
      </c>
      <c r="C55" s="167">
        <f>C18/C16</f>
        <v>0.4479508340792579</v>
      </c>
      <c r="D55" s="316">
        <f>(ﾃﾝﾌﾟﾚｰﾄ!$D$30+(ﾃﾝﾌﾟﾚｰﾄ!$E$13-ﾃﾝﾌﾟﾚｰﾄ!$E$51)*100)/100</f>
        <v>3.100000000000001E-2</v>
      </c>
      <c r="E55" s="316">
        <f>(ﾃﾝﾌﾟﾚｰﾄ!$D$30+(ﾃﾝﾌﾟﾚｰﾄ!$E$13-ﾃﾝﾌﾟﾚｰﾄ!$E$51)*100)/100/2</f>
        <v>1.5500000000000005E-2</v>
      </c>
      <c r="F55" s="316">
        <f>(ﾃﾝﾌﾟﾚｰﾄ!$D$30+(ﾃﾝﾌﾟﾚｰﾄ!$E$13-ﾃﾝﾌﾟﾚｰﾄ!$E$51)*100)/100/3</f>
        <v>1.0333333333333337E-2</v>
      </c>
      <c r="G55" s="316">
        <f>(ﾃﾝﾌﾟﾚｰﾄ!$D$30+(ﾃﾝﾌﾟﾚｰﾄ!$E$13-ﾃﾝﾌﾟﾚｰﾄ!$E$51)*100)/100/4</f>
        <v>7.7500000000000025E-3</v>
      </c>
      <c r="H55" s="316">
        <f>(ﾃﾝﾌﾟﾚｰﾄ!$D$30+(ﾃﾝﾌﾟﾚｰﾄ!$E$13-ﾃﾝﾌﾟﾚｰﾄ!$E$51)*100)/100/5</f>
        <v>6.2000000000000024E-3</v>
      </c>
      <c r="I55" s="90" t="s">
        <v>134</v>
      </c>
    </row>
    <row r="56" spans="1:9" s="90" customFormat="1" ht="23.25" customHeight="1">
      <c r="A56" s="168" t="s">
        <v>135</v>
      </c>
      <c r="B56" s="435">
        <f>AVERAGE(B55:C55)</f>
        <v>0.4479508340792579</v>
      </c>
      <c r="C56" s="435"/>
      <c r="D56" s="167">
        <f>B56*(1-D55)</f>
        <v>0.43406435822280087</v>
      </c>
      <c r="E56" s="167">
        <f>D56*(1-E55)</f>
        <v>0.42733636067034747</v>
      </c>
      <c r="F56" s="167">
        <f>E56*(1-F55)</f>
        <v>0.42292055161008724</v>
      </c>
      <c r="G56" s="167">
        <f>F56*(1-G55)</f>
        <v>0.41964291733510906</v>
      </c>
      <c r="H56" s="167">
        <f>G56*(1-H55)</f>
        <v>0.41704113124763137</v>
      </c>
    </row>
    <row r="57" spans="1:9" ht="16.5" customHeight="1"/>
    <row r="58" spans="1:9" ht="16.5" customHeight="1"/>
    <row r="59" spans="1:9" ht="19.5">
      <c r="A59" s="160" t="s">
        <v>136</v>
      </c>
      <c r="B59" s="88"/>
      <c r="C59" s="88"/>
      <c r="D59" s="88"/>
      <c r="E59" s="88"/>
      <c r="F59" s="88"/>
      <c r="G59" s="88"/>
      <c r="H59" s="88"/>
      <c r="I59" s="88"/>
    </row>
    <row r="60" spans="1:9" ht="13.5" customHeight="1">
      <c r="A60" s="169"/>
    </row>
    <row r="61" spans="1:9">
      <c r="A61" s="163" t="s">
        <v>137</v>
      </c>
    </row>
    <row r="63" spans="1:9">
      <c r="C63" s="80" t="s">
        <v>272</v>
      </c>
      <c r="D63" s="80">
        <f>ﾃﾝﾌﾟﾚｰﾄ!D31</f>
        <v>2</v>
      </c>
    </row>
    <row r="64" spans="1:9">
      <c r="C64" s="80" t="s">
        <v>273</v>
      </c>
      <c r="D64" s="285">
        <f>ﾃﾝﾌﾟﾚｰﾄ!D41/ﾃﾝﾌﾟﾚｰﾄ!D44*10000</f>
        <v>956695.38461538451</v>
      </c>
    </row>
    <row r="65" spans="1:9">
      <c r="D65" s="170" t="s">
        <v>118</v>
      </c>
      <c r="E65" s="170" t="s">
        <v>119</v>
      </c>
      <c r="F65" s="170" t="s">
        <v>120</v>
      </c>
      <c r="G65" s="170" t="s">
        <v>121</v>
      </c>
      <c r="H65" s="170" t="s">
        <v>122</v>
      </c>
    </row>
    <row r="66" spans="1:9" ht="29.25" customHeight="1">
      <c r="B66" s="436" t="s">
        <v>138</v>
      </c>
      <c r="C66" s="437"/>
      <c r="D66" s="180">
        <f>$D$64*$D$63/5</f>
        <v>382678.15384615381</v>
      </c>
      <c r="E66" s="180">
        <f>$D$64*$D$63/5</f>
        <v>382678.15384615381</v>
      </c>
      <c r="F66" s="180">
        <f>$D$64*$D$63/5</f>
        <v>382678.15384615381</v>
      </c>
      <c r="G66" s="180">
        <f>$D$64*$D$63/5</f>
        <v>382678.15384615381</v>
      </c>
      <c r="H66" s="180">
        <f>$D$64*$D$63/5</f>
        <v>382678.15384615381</v>
      </c>
    </row>
    <row r="67" spans="1:9">
      <c r="B67" s="80" t="s">
        <v>139</v>
      </c>
    </row>
    <row r="68" spans="1:9">
      <c r="B68" s="80" t="s">
        <v>140</v>
      </c>
    </row>
    <row r="69" spans="1:9">
      <c r="B69" s="80" t="s">
        <v>141</v>
      </c>
    </row>
    <row r="72" spans="1:9">
      <c r="A72" s="163" t="s">
        <v>142</v>
      </c>
    </row>
    <row r="73" spans="1:9" ht="18.75" customHeight="1">
      <c r="D73" s="170" t="s">
        <v>118</v>
      </c>
      <c r="E73" s="170" t="s">
        <v>119</v>
      </c>
      <c r="F73" s="170" t="s">
        <v>120</v>
      </c>
      <c r="G73" s="170" t="s">
        <v>121</v>
      </c>
      <c r="H73" s="170" t="s">
        <v>122</v>
      </c>
    </row>
    <row r="74" spans="1:9" ht="30.75" customHeight="1">
      <c r="B74" s="436" t="s">
        <v>143</v>
      </c>
      <c r="C74" s="437"/>
      <c r="D74" s="171">
        <v>0</v>
      </c>
      <c r="E74" s="171">
        <v>0</v>
      </c>
      <c r="F74" s="171">
        <v>0</v>
      </c>
      <c r="G74" s="171">
        <v>0</v>
      </c>
      <c r="H74" s="171">
        <v>0</v>
      </c>
    </row>
    <row r="75" spans="1:9">
      <c r="B75" s="80" t="s">
        <v>144</v>
      </c>
    </row>
    <row r="78" spans="1:9" ht="19.5">
      <c r="A78" s="160" t="s">
        <v>145</v>
      </c>
      <c r="B78" s="88"/>
      <c r="C78" s="88"/>
      <c r="D78" s="88"/>
      <c r="E78" s="88"/>
      <c r="F78" s="88"/>
      <c r="G78" s="88"/>
      <c r="H78" s="88"/>
      <c r="I78" s="88"/>
    </row>
    <row r="79" spans="1:9" s="173" customFormat="1" ht="19.5">
      <c r="A79" s="172"/>
    </row>
    <row r="80" spans="1:9">
      <c r="A80" s="80" t="s">
        <v>146</v>
      </c>
    </row>
    <row r="81" spans="1:11" ht="17.25" customHeight="1">
      <c r="A81" s="80" t="s">
        <v>147</v>
      </c>
    </row>
    <row r="82" spans="1:11" ht="17.25" customHeight="1">
      <c r="B82" s="174" t="s">
        <v>148</v>
      </c>
    </row>
    <row r="83" spans="1:11" ht="17.25" customHeight="1">
      <c r="B83" s="175" t="s">
        <v>149</v>
      </c>
    </row>
    <row r="84" spans="1:11" ht="17.25" customHeight="1">
      <c r="E84" s="438" t="s">
        <v>67</v>
      </c>
      <c r="F84" s="438"/>
      <c r="G84" s="438"/>
      <c r="H84" s="438"/>
      <c r="I84" s="438"/>
    </row>
    <row r="85" spans="1:11">
      <c r="A85" s="176" t="s">
        <v>150</v>
      </c>
      <c r="B85" s="161" t="s">
        <v>151</v>
      </c>
      <c r="C85" s="161" t="s">
        <v>152</v>
      </c>
      <c r="D85" s="161" t="s">
        <v>153</v>
      </c>
      <c r="E85" s="161" t="s">
        <v>118</v>
      </c>
      <c r="F85" s="161" t="s">
        <v>119</v>
      </c>
      <c r="G85" s="161" t="s">
        <v>120</v>
      </c>
      <c r="H85" s="161" t="s">
        <v>121</v>
      </c>
      <c r="I85" s="161" t="s">
        <v>122</v>
      </c>
    </row>
    <row r="86" spans="1:11" s="90" customFormat="1" ht="23.25" customHeight="1">
      <c r="A86" s="177" t="s">
        <v>154</v>
      </c>
      <c r="B86" s="180">
        <f>ﾃﾝﾌﾟﾚｰﾄ!L29</f>
        <v>15000000</v>
      </c>
      <c r="C86" s="178">
        <v>10</v>
      </c>
      <c r="D86" s="177">
        <v>0</v>
      </c>
      <c r="E86" s="179">
        <f>TRUNC(IF(ISERROR(B86*VLOOKUP($C86,[1]設定_償却率表!$A$3:$C$32,3,FALSE)),"0",B86*VLOOKUP($C86,[1]設定_償却率表!$A$3:$C$32,3,FALSE)))</f>
        <v>3750000</v>
      </c>
      <c r="F86" s="179">
        <f>TRUNC(IF(ISERROR((B86-E86)*VLOOKUP($C86,[1]設定_償却率表!$A$3:$C$32,3,FALSE)),"0",(B86-E86)*VLOOKUP($C86,[1]設定_償却率表!$A$3:$C$32,3,FALSE)))</f>
        <v>2812500</v>
      </c>
      <c r="G86" s="179">
        <v>2531250</v>
      </c>
      <c r="H86" s="180">
        <f>TRUNC(IF(ISERROR((B86-SUM(E86:G86))*VLOOKUP($C86,[1]設定_償却率表!$A$3:$C$32,3,FALSE)),"0",(B86-SUM(E86:G86))*VLOOKUP($C86,[1]設定_償却率表!$A$3:$C$32,3,FALSE)))</f>
        <v>1476562</v>
      </c>
      <c r="I86" s="180">
        <f>TRUNC(IF(ISERROR((B86-SUM(E86:H86))*VLOOKUP($C86,[1]設定_償却率表!$A$3:$C$32,3,FALSE)),"0",(B86-SUM(E86:H86))*VLOOKUP($C86,[1]設定_償却率表!$A$3:$C$32,3,FALSE)))</f>
        <v>1107422</v>
      </c>
      <c r="J86" s="80"/>
    </row>
    <row r="87" spans="1:11" s="90" customFormat="1" ht="23.25" customHeight="1">
      <c r="A87" s="177" t="s">
        <v>155</v>
      </c>
      <c r="B87" s="180">
        <f>ﾃﾝﾌﾟﾚｰﾄ!L30</f>
        <v>0</v>
      </c>
      <c r="C87" s="178">
        <v>10</v>
      </c>
      <c r="D87" s="177">
        <v>0</v>
      </c>
      <c r="E87" s="179">
        <f>TRUNC(IF(ISERROR(B87*VLOOKUP($C87,[1]設定_償却率表!$A$3:$C$32,3,FALSE)),"0",B87*VLOOKUP($C87,[1]設定_償却率表!$A$3:$C$32,3,FALSE)))</f>
        <v>0</v>
      </c>
      <c r="F87" s="179">
        <f>TRUNC(IF(ISERROR((B87-E87)*VLOOKUP($C87,[1]設定_償却率表!$A$3:$C$32,3,FALSE)),"0",(B87-E87)*VLOOKUP($C87,[1]設定_償却率表!$A$3:$C$32,3,FALSE)))</f>
        <v>0</v>
      </c>
      <c r="G87" s="179">
        <f>TRUNC(IF(ISERROR((B87-SUM(E87:F87))*VLOOKUP($C87,[1]設定_償却率表!$A$3:$C$32,3,FALSE)),"0",(B87-SUM(E87:F87))*VLOOKUP($C87,[1]設定_償却率表!$A$3:$C$32,3,FALSE)))</f>
        <v>0</v>
      </c>
      <c r="H87" s="180">
        <f>TRUNC(IF(ISERROR((B87-SUM(E87:G87))*VLOOKUP($C87,[1]設定_償却率表!$A$3:$C$32,3,FALSE)),"0",(B87-SUM(E87:G87))*VLOOKUP($C87,[1]設定_償却率表!$A$3:$C$32,3,FALSE)))</f>
        <v>0</v>
      </c>
      <c r="I87" s="180">
        <f>TRUNC(IF(ISERROR((B87-SUM(E87:H87))*VLOOKUP($C87,[1]設定_償却率表!$A$3:$C$32,3,FALSE)),"0",(B87-SUM(E87:H87))*VLOOKUP($C87,[1]設定_償却率表!$A$3:$C$32,3,FALSE)))</f>
        <v>0</v>
      </c>
      <c r="J87" s="80"/>
    </row>
    <row r="88" spans="1:11" s="90" customFormat="1" ht="23.25" customHeight="1">
      <c r="A88" s="177" t="s">
        <v>156</v>
      </c>
      <c r="B88" s="180">
        <f>ﾃﾝﾌﾟﾚｰﾄ!L31</f>
        <v>0</v>
      </c>
      <c r="C88" s="178">
        <v>10</v>
      </c>
      <c r="D88" s="177">
        <v>0</v>
      </c>
      <c r="E88" s="179">
        <f>TRUNC(IF(ISERROR(B88*VLOOKUP($C88,[1]設定_償却率表!$A$3:$C$32,3,FALSE)),"0",B88*VLOOKUP($C88,[1]設定_償却率表!$A$3:$C$32,3,FALSE)))</f>
        <v>0</v>
      </c>
      <c r="F88" s="179">
        <f>TRUNC(IF(ISERROR((B88-E88)*VLOOKUP($C88,[1]設定_償却率表!$A$3:$C$32,3,FALSE)),"0",(B88-E88)*VLOOKUP($C88,[1]設定_償却率表!$A$3:$C$32,3,FALSE)))</f>
        <v>0</v>
      </c>
      <c r="G88" s="179">
        <f>TRUNC(IF(ISERROR((B88-SUM(E88:F88))*VLOOKUP($C88,[1]設定_償却率表!$A$3:$C$32,3,FALSE)),"0",(B88-SUM(E88:F88))*VLOOKUP($C88,[1]設定_償却率表!$A$3:$C$32,3,FALSE)))</f>
        <v>0</v>
      </c>
      <c r="H88" s="180">
        <f>TRUNC(IF(ISERROR((B88-SUM(E88:G88))*VLOOKUP($C88,[1]設定_償却率表!$A$3:$C$32,3,FALSE)),"0",(B88-SUM(E88:G88))*VLOOKUP($C88,[1]設定_償却率表!$A$3:$C$32,3,FALSE)))</f>
        <v>0</v>
      </c>
      <c r="I88" s="180">
        <f>TRUNC(IF(ISERROR((B88-SUM(E88:H88))*VLOOKUP($C88,[1]設定_償却率表!$A$3:$C$32,3,FALSE)),"0",(B88-SUM(E88:H88))*VLOOKUP($C88,[1]設定_償却率表!$A$3:$C$32,3,FALSE)))</f>
        <v>0</v>
      </c>
      <c r="J88" s="80"/>
    </row>
    <row r="89" spans="1:11" s="90" customFormat="1" ht="23.25" customHeight="1">
      <c r="A89" s="177" t="s">
        <v>157</v>
      </c>
      <c r="B89" s="180"/>
      <c r="C89" s="178"/>
      <c r="D89" s="177">
        <v>0</v>
      </c>
      <c r="E89" s="179">
        <f>TRUNC(IF(ISERROR(B89*VLOOKUP($C89,[1]設定_償却率表!$A$3:$C$32,3,FALSE)),"0",B89*VLOOKUP($C89,[1]設定_償却率表!$A$3:$C$32,3,FALSE)))</f>
        <v>0</v>
      </c>
      <c r="F89" s="179">
        <f>TRUNC(IF(ISERROR((B89-E89)*VLOOKUP($C89,[1]設定_償却率表!$A$3:$C$32,3,FALSE)),"0",(B89-E89)*VLOOKUP($C89,[1]設定_償却率表!$A$3:$C$32,3,FALSE)))</f>
        <v>0</v>
      </c>
      <c r="G89" s="179">
        <f>TRUNC(IF(ISERROR((B89-SUM(E89:F89))*VLOOKUP($C89,[1]設定_償却率表!$A$3:$C$32,3,FALSE)),"0",(B89-SUM(E89:F89))*VLOOKUP($C89,[1]設定_償却率表!$A$3:$C$32,3,FALSE)))</f>
        <v>0</v>
      </c>
      <c r="H89" s="180">
        <f>TRUNC(IF(ISERROR((B89-SUM(E89:G89))*VLOOKUP($C89,[1]設定_償却率表!$A$3:$C$32,3,FALSE)),"0",(B89-SUM(E89:G89))*VLOOKUP($C89,[1]設定_償却率表!$A$3:$C$32,3,FALSE)))</f>
        <v>0</v>
      </c>
      <c r="I89" s="180">
        <f>TRUNC(IF(ISERROR((B89-SUM(E89:H89))*VLOOKUP($C89,[1]設定_償却率表!$A$3:$C$32,3,FALSE)),"0",(B89-SUM(E89:H89))*VLOOKUP($C89,[1]設定_償却率表!$A$3:$C$32,3,FALSE)))</f>
        <v>0</v>
      </c>
    </row>
    <row r="90" spans="1:11" s="90" customFormat="1" ht="23.25" customHeight="1">
      <c r="A90" s="177" t="s">
        <v>158</v>
      </c>
      <c r="B90" s="180"/>
      <c r="C90" s="178"/>
      <c r="D90" s="177">
        <v>0</v>
      </c>
      <c r="E90" s="179">
        <f>TRUNC(IF(ISERROR(B90*VLOOKUP($C90,[1]設定_償却率表!$A$3:$C$32,3,FALSE)),"0",B90*VLOOKUP($C90,[1]設定_償却率表!$A$3:$C$32,3,FALSE)))</f>
        <v>0</v>
      </c>
      <c r="F90" s="179">
        <f>TRUNC(IF(ISERROR((B90-E90)*VLOOKUP($C90,[1]設定_償却率表!$A$3:$C$32,3,FALSE)),"0",(B90-E90)*VLOOKUP($C90,[1]設定_償却率表!$A$3:$C$32,3,FALSE)))</f>
        <v>0</v>
      </c>
      <c r="G90" s="179">
        <f>TRUNC(IF(ISERROR((B90-SUM(E90:F90))*VLOOKUP($C90,[1]設定_償却率表!$A$3:$C$32,3,FALSE)),"0",(B90-SUM(E90:F90))*VLOOKUP($C90,[1]設定_償却率表!$A$3:$C$32,3,FALSE)))</f>
        <v>0</v>
      </c>
      <c r="H90" s="180">
        <f>TRUNC(IF(ISERROR((B90-SUM(E90:G90))*VLOOKUP($C90,[1]設定_償却率表!$A$3:$C$32,3,FALSE)),"0",(B90-SUM(E90:G90))*VLOOKUP($C90,[1]設定_償却率表!$A$3:$C$32,3,FALSE)))</f>
        <v>0</v>
      </c>
      <c r="I90" s="180">
        <f>TRUNC(IF(ISERROR((B90-SUM(E90:H90))*VLOOKUP($C90,[1]設定_償却率表!$A$3:$C$32,3,FALSE)),"0",(B90-SUM(E90:H90))*VLOOKUP($C90,[1]設定_償却率表!$A$3:$C$32,3,FALSE)))</f>
        <v>0</v>
      </c>
    </row>
    <row r="91" spans="1:11" s="90" customFormat="1" ht="23.25" customHeight="1">
      <c r="A91" s="177" t="s">
        <v>159</v>
      </c>
      <c r="B91" s="180"/>
      <c r="C91" s="178"/>
      <c r="D91" s="177">
        <v>0</v>
      </c>
      <c r="E91" s="179">
        <f>TRUNC(IF(ISERROR(B91*VLOOKUP($C91,[1]設定_償却率表!$A$3:$C$32,3,FALSE)),"0",B91*VLOOKUP($C91,[1]設定_償却率表!$A$3:$C$32,3,FALSE)))</f>
        <v>0</v>
      </c>
      <c r="F91" s="179">
        <f>TRUNC(IF(ISERROR((B91-E91)*VLOOKUP($C91,[1]設定_償却率表!$A$3:$C$32,3,FALSE)),"0",(B91-E91)*VLOOKUP($C91,[1]設定_償却率表!$A$3:$C$32,3,FALSE)))</f>
        <v>0</v>
      </c>
      <c r="G91" s="179">
        <f>TRUNC(IF(ISERROR((B91-SUM(E91:F91))*VLOOKUP($C91,[1]設定_償却率表!$A$3:$C$32,3,FALSE)),"0",(B91-SUM(E91:F91))*VLOOKUP($C91,[1]設定_償却率表!$A$3:$C$32,3,FALSE)))</f>
        <v>0</v>
      </c>
      <c r="H91" s="180">
        <f>TRUNC(IF(ISERROR((B91-SUM(E91:G91))*VLOOKUP($C91,[1]設定_償却率表!$A$3:$C$32,3,FALSE)),"0",(B91-SUM(E91:G91))*VLOOKUP($C91,[1]設定_償却率表!$A$3:$C$32,3,FALSE)))</f>
        <v>0</v>
      </c>
      <c r="I91" s="180">
        <f>TRUNC(IF(ISERROR((B91-SUM(E91:H91))*VLOOKUP($C91,[1]設定_償却率表!$A$3:$C$32,3,FALSE)),"0",(B91-SUM(E91:H91))*VLOOKUP($C91,[1]設定_償却率表!$A$3:$C$32,3,FALSE)))</f>
        <v>0</v>
      </c>
    </row>
    <row r="92" spans="1:11" s="90" customFormat="1" ht="23.25" customHeight="1">
      <c r="A92" s="177" t="s">
        <v>160</v>
      </c>
      <c r="B92" s="180"/>
      <c r="C92" s="178"/>
      <c r="D92" s="177">
        <v>0</v>
      </c>
      <c r="E92" s="179">
        <f>TRUNC(IF(ISERROR(B92*VLOOKUP($C92,[1]設定_償却率表!$A$3:$C$32,3,FALSE)),"0",B92*VLOOKUP($C92,[1]設定_償却率表!$A$3:$C$32,3,FALSE)))</f>
        <v>0</v>
      </c>
      <c r="F92" s="179">
        <f>TRUNC(IF(ISERROR((B92-E92)*VLOOKUP($C92,[1]設定_償却率表!$A$3:$C$32,3,FALSE)),"0",(B92-E92)*VLOOKUP($C92,[1]設定_償却率表!$A$3:$C$32,3,FALSE)))</f>
        <v>0</v>
      </c>
      <c r="G92" s="179">
        <f>TRUNC(IF(ISERROR((B92-SUM(E92:F92))*VLOOKUP($C92,[1]設定_償却率表!$A$3:$C$32,3,FALSE)),"0",(B92-SUM(E92:F92))*VLOOKUP($C92,[1]設定_償却率表!$A$3:$C$32,3,FALSE)))</f>
        <v>0</v>
      </c>
      <c r="H92" s="180">
        <f>TRUNC(IF(ISERROR((B92-SUM(E92:G92))*VLOOKUP($C92,[1]設定_償却率表!$A$3:$C$32,3,FALSE)),"0",(B92-SUM(E92:G92))*VLOOKUP($C92,[1]設定_償却率表!$A$3:$C$32,3,FALSE)))</f>
        <v>0</v>
      </c>
      <c r="I92" s="180">
        <f>TRUNC(IF(ISERROR((B92-SUM(E92:H92))*VLOOKUP($C92,[1]設定_償却率表!$A$3:$C$32,3,FALSE)),"0",(B92-SUM(E92:H92))*VLOOKUP($C92,[1]設定_償却率表!$A$3:$C$32,3,FALSE)))</f>
        <v>0</v>
      </c>
    </row>
    <row r="93" spans="1:11" s="90" customFormat="1" ht="23.25" customHeight="1" thickBot="1">
      <c r="A93" s="181" t="s">
        <v>161</v>
      </c>
      <c r="B93" s="183"/>
      <c r="C93" s="182"/>
      <c r="D93" s="181">
        <v>0</v>
      </c>
      <c r="E93" s="274">
        <f>TRUNC(IF(ISERROR(B93*VLOOKUP($C93,[1]設定_償却率表!$A$3:$C$32,3,FALSE)),"0",B93*VLOOKUP($C93,[1]設定_償却率表!$A$3:$C$32,3,FALSE)))</f>
        <v>0</v>
      </c>
      <c r="F93" s="274">
        <f>TRUNC(IF(ISERROR((B93-E93)*VLOOKUP($C93,[1]設定_償却率表!$A$3:$C$32,3,FALSE)),"0",(B93-E93)*VLOOKUP($C93,[1]設定_償却率表!$A$3:$C$32,3,FALSE)))</f>
        <v>0</v>
      </c>
      <c r="G93" s="274">
        <f>TRUNC(IF(ISERROR((B93-SUM(E93:F93))*VLOOKUP($C93,[1]設定_償却率表!$A$3:$C$32,3,FALSE)),"0",(B93-SUM(E93:F93))*VLOOKUP($C93,[1]設定_償却率表!$A$3:$C$32,3,FALSE)))</f>
        <v>0</v>
      </c>
      <c r="H93" s="275">
        <f>TRUNC(IF(ISERROR((B93-SUM(E93:G93))*VLOOKUP($C93,[1]設定_償却率表!$A$3:$C$32,3,FALSE)),"0",(B93-SUM(E93:G93))*VLOOKUP($C93,[1]設定_償却率表!$A$3:$C$32,3,FALSE)))</f>
        <v>0</v>
      </c>
      <c r="I93" s="275">
        <f>TRUNC(IF(ISERROR((B93-SUM(E93:H93))*VLOOKUP($C93,[1]設定_償却率表!$A$3:$C$32,3,FALSE)),"0",(B93-SUM(E93:H93))*VLOOKUP($C93,[1]設定_償却率表!$A$3:$C$32,3,FALSE)))</f>
        <v>0</v>
      </c>
    </row>
    <row r="94" spans="1:11" s="90" customFormat="1" ht="23.25" customHeight="1" thickTop="1">
      <c r="A94" s="272"/>
      <c r="B94" s="273"/>
      <c r="C94" s="284"/>
      <c r="D94" s="272" t="s">
        <v>271</v>
      </c>
      <c r="E94" s="179">
        <f>IF(ﾃﾝﾌﾟﾚｰﾄ!L35="する",ﾃﾝﾌﾟﾚｰﾄ!L36,SUM(計算ワーク!E86:E93))</f>
        <v>3750000</v>
      </c>
      <c r="F94" s="179">
        <f>IF(ﾃﾝﾌﾟﾚｰﾄ!L35="する",0,SUM(計算ワーク!F86:F93))</f>
        <v>2812500</v>
      </c>
      <c r="G94" s="179">
        <f>IF(ﾃﾝﾌﾟﾚｰﾄ!L35="する",0,SUM(計算ワーク!G86:G93))</f>
        <v>2531250</v>
      </c>
      <c r="H94" s="179">
        <f>IF(ﾃﾝﾌﾟﾚｰﾄ!L35="する",0,SUM(計算ワーク!H86:H93))</f>
        <v>1476562</v>
      </c>
      <c r="I94" s="179">
        <f>IF(ﾃﾝﾌﾟﾚｰﾄ!L35="する",0,SUM(計算ワーク!I86:I93))</f>
        <v>1107422</v>
      </c>
    </row>
    <row r="95" spans="1:11" s="90" customFormat="1" ht="23.25" customHeight="1">
      <c r="A95" s="184" t="s">
        <v>162</v>
      </c>
      <c r="B95" s="185">
        <f>SUM(B86:B93)</f>
        <v>15000000</v>
      </c>
      <c r="C95" s="186"/>
      <c r="D95" s="184" t="s">
        <v>162</v>
      </c>
      <c r="E95" s="185">
        <f>E94</f>
        <v>3750000</v>
      </c>
      <c r="F95" s="185">
        <f>F94</f>
        <v>2812500</v>
      </c>
      <c r="G95" s="185">
        <f>G94</f>
        <v>2531250</v>
      </c>
      <c r="H95" s="185">
        <f>H94</f>
        <v>1476562</v>
      </c>
      <c r="I95" s="185">
        <f>I94</f>
        <v>1107422</v>
      </c>
      <c r="J95" s="187">
        <f>SUM(E95:I95)</f>
        <v>11677734</v>
      </c>
      <c r="K95" s="90" t="s">
        <v>163</v>
      </c>
    </row>
    <row r="96" spans="1:11">
      <c r="A96" s="80" t="s">
        <v>164</v>
      </c>
      <c r="E96" s="188"/>
      <c r="F96" s="188"/>
      <c r="G96" s="188"/>
      <c r="H96" s="188"/>
      <c r="I96" s="188"/>
    </row>
    <row r="98" spans="1:9" ht="18.75" customHeight="1">
      <c r="A98" s="189" t="s">
        <v>165</v>
      </c>
      <c r="B98" s="88"/>
      <c r="C98" s="88"/>
      <c r="D98" s="88"/>
      <c r="E98" s="88"/>
      <c r="F98" s="88"/>
      <c r="G98" s="88"/>
      <c r="H98" s="88"/>
      <c r="I98" s="88"/>
    </row>
    <row r="100" spans="1:9" ht="16.5" customHeight="1">
      <c r="A100" s="163" t="s">
        <v>166</v>
      </c>
    </row>
    <row r="101" spans="1:9" ht="16.5" customHeight="1"/>
    <row r="102" spans="1:9" ht="16.5" customHeight="1">
      <c r="A102" s="163" t="s">
        <v>167</v>
      </c>
    </row>
    <row r="103" spans="1:9" ht="16.5" customHeight="1">
      <c r="A103" s="163"/>
      <c r="B103" s="190" t="s">
        <v>131</v>
      </c>
      <c r="C103" s="190" t="s">
        <v>132</v>
      </c>
    </row>
    <row r="104" spans="1:9" ht="16.5" hidden="1" customHeight="1">
      <c r="A104" s="191" t="s">
        <v>168</v>
      </c>
      <c r="B104" s="192">
        <v>0</v>
      </c>
      <c r="C104" s="192">
        <v>0</v>
      </c>
    </row>
    <row r="105" spans="1:9" ht="16.5" hidden="1" customHeight="1">
      <c r="A105" s="191" t="s">
        <v>169</v>
      </c>
      <c r="B105" s="193">
        <f>B104/B16</f>
        <v>0</v>
      </c>
      <c r="C105" s="193">
        <f>C104/C16</f>
        <v>0</v>
      </c>
      <c r="D105" s="194" t="s">
        <v>170</v>
      </c>
    </row>
    <row r="106" spans="1:9" ht="16.5" customHeight="1">
      <c r="A106" s="195" t="s">
        <v>135</v>
      </c>
      <c r="B106" s="439">
        <v>0.02</v>
      </c>
      <c r="C106" s="439"/>
      <c r="D106" s="80" t="s">
        <v>171</v>
      </c>
    </row>
    <row r="108" spans="1:9" ht="16.5" customHeight="1">
      <c r="A108" s="80" t="s">
        <v>172</v>
      </c>
    </row>
    <row r="110" spans="1:9">
      <c r="A110" s="80" t="s">
        <v>173</v>
      </c>
    </row>
    <row r="112" spans="1:9" ht="18" customHeight="1">
      <c r="A112" s="80" t="s">
        <v>174</v>
      </c>
      <c r="B112" s="196">
        <f>B106</f>
        <v>0.02</v>
      </c>
      <c r="C112" s="80" t="s">
        <v>175</v>
      </c>
    </row>
    <row r="113" spans="1:9" ht="18" customHeight="1">
      <c r="A113" s="80" t="s">
        <v>176</v>
      </c>
      <c r="B113" s="192">
        <f>B95</f>
        <v>15000000</v>
      </c>
      <c r="C113" s="80" t="s">
        <v>177</v>
      </c>
      <c r="D113" s="163" t="s">
        <v>269</v>
      </c>
    </row>
    <row r="114" spans="1:9" ht="18" customHeight="1">
      <c r="A114" s="80" t="s">
        <v>178</v>
      </c>
      <c r="B114" s="197">
        <f>B113*B112</f>
        <v>300000</v>
      </c>
      <c r="D114" s="80" t="s">
        <v>179</v>
      </c>
    </row>
    <row r="118" spans="1:9" ht="20.25" customHeight="1">
      <c r="A118" s="189" t="s">
        <v>180</v>
      </c>
      <c r="B118" s="88"/>
      <c r="C118" s="88"/>
      <c r="D118" s="88"/>
      <c r="E118" s="88"/>
      <c r="F118" s="88"/>
      <c r="G118" s="88"/>
      <c r="H118" s="88"/>
      <c r="I118" s="88"/>
    </row>
    <row r="120" spans="1:9">
      <c r="A120" s="163" t="s">
        <v>181</v>
      </c>
    </row>
    <row r="121" spans="1:9" ht="20.25" customHeight="1">
      <c r="B121" s="198" t="s">
        <v>182</v>
      </c>
      <c r="C121" s="198" t="s">
        <v>183</v>
      </c>
      <c r="D121" s="198" t="s">
        <v>184</v>
      </c>
      <c r="E121" s="198" t="s">
        <v>185</v>
      </c>
    </row>
    <row r="122" spans="1:9" ht="30" customHeight="1">
      <c r="B122" s="199" t="s">
        <v>186</v>
      </c>
      <c r="C122" s="200">
        <v>0.01</v>
      </c>
      <c r="D122" s="201">
        <f>H26</f>
        <v>0.27800000000000002</v>
      </c>
      <c r="E122" s="202" t="str">
        <f>IF(D122&gt;=($C$122*5),"OK","NG")</f>
        <v>OK</v>
      </c>
      <c r="F122" s="203" t="s">
        <v>187</v>
      </c>
    </row>
    <row r="123" spans="1:9" ht="30" customHeight="1">
      <c r="B123" s="204" t="s">
        <v>188</v>
      </c>
      <c r="C123" s="200">
        <v>0.03</v>
      </c>
      <c r="D123" s="201">
        <f>H30</f>
        <v>0.19800000000000001</v>
      </c>
      <c r="E123" s="202" t="str">
        <f>IF(D123&gt;=($C$123*5),"OK","NG")</f>
        <v>OK</v>
      </c>
      <c r="F123" s="205" t="s">
        <v>189</v>
      </c>
    </row>
    <row r="124" spans="1:9" ht="30" customHeight="1">
      <c r="B124" s="204" t="s">
        <v>190</v>
      </c>
      <c r="C124" s="200">
        <v>0.05</v>
      </c>
      <c r="D124" s="201">
        <f>G32</f>
        <v>1.5033402666666666</v>
      </c>
      <c r="E124" s="202" t="str">
        <f>IF(D124&gt;=($C$124),"OK","NG")</f>
        <v>OK</v>
      </c>
      <c r="F124" s="203" t="s">
        <v>191</v>
      </c>
    </row>
    <row r="129" spans="1:12" ht="19.5" customHeight="1">
      <c r="A129" s="189" t="s">
        <v>192</v>
      </c>
      <c r="B129" s="88"/>
      <c r="C129" s="88"/>
      <c r="D129" s="88"/>
      <c r="E129" s="88"/>
      <c r="F129" s="88"/>
      <c r="G129" s="88"/>
      <c r="H129" s="88"/>
      <c r="I129" s="88"/>
    </row>
    <row r="130" spans="1:12" ht="19.5">
      <c r="A130" s="206"/>
    </row>
    <row r="131" spans="1:12">
      <c r="A131" s="207" t="s">
        <v>193</v>
      </c>
    </row>
    <row r="132" spans="1:12">
      <c r="A132" s="80" t="s">
        <v>194</v>
      </c>
    </row>
    <row r="133" spans="1:12">
      <c r="A133" s="80" t="s">
        <v>195</v>
      </c>
    </row>
    <row r="134" spans="1:12">
      <c r="A134" s="80" t="s">
        <v>196</v>
      </c>
    </row>
    <row r="135" spans="1:12">
      <c r="A135" s="208" t="s">
        <v>197</v>
      </c>
      <c r="G135" s="80" t="s">
        <v>197</v>
      </c>
    </row>
    <row r="137" spans="1:12" ht="14.25" customHeight="1">
      <c r="A137" s="81"/>
      <c r="B137" s="81"/>
      <c r="C137" s="81"/>
      <c r="D137" s="81"/>
      <c r="E137" s="81"/>
      <c r="F137" s="81"/>
      <c r="G137" s="81"/>
      <c r="H137" s="81"/>
      <c r="I137" s="81"/>
    </row>
    <row r="138" spans="1:12" ht="20.25" customHeight="1">
      <c r="A138" s="209" t="s">
        <v>198</v>
      </c>
      <c r="B138" s="210"/>
      <c r="C138" s="210"/>
      <c r="D138" s="210"/>
      <c r="E138" s="210"/>
      <c r="F138" s="210"/>
      <c r="G138" s="210"/>
      <c r="H138" s="210"/>
      <c r="I138" s="210"/>
    </row>
    <row r="139" spans="1:12" s="212" customFormat="1" ht="14.25" customHeight="1">
      <c r="A139" s="211"/>
      <c r="B139" s="211"/>
      <c r="C139" s="211"/>
      <c r="D139" s="211"/>
      <c r="E139" s="211"/>
      <c r="F139" s="211"/>
      <c r="G139" s="211"/>
      <c r="H139" s="211"/>
      <c r="I139" s="211"/>
    </row>
    <row r="140" spans="1:12" s="212" customFormat="1" ht="14.25" customHeight="1">
      <c r="A140" s="213" t="s">
        <v>199</v>
      </c>
      <c r="B140" s="213"/>
      <c r="C140" s="213"/>
      <c r="D140" s="213"/>
      <c r="E140" s="213"/>
      <c r="F140" s="211"/>
      <c r="G140" s="211"/>
      <c r="H140" s="211"/>
      <c r="I140" s="211"/>
    </row>
    <row r="141" spans="1:12" s="212" customFormat="1" ht="14.25" customHeight="1">
      <c r="A141" s="213" t="s">
        <v>200</v>
      </c>
      <c r="B141" s="213"/>
      <c r="C141" s="213"/>
      <c r="D141" s="213"/>
      <c r="E141" s="213"/>
      <c r="F141" s="211"/>
      <c r="G141" s="211"/>
      <c r="H141" s="211"/>
      <c r="I141" s="211"/>
    </row>
    <row r="142" spans="1:12" s="212" customFormat="1" ht="14.25" customHeight="1">
      <c r="A142" s="211"/>
      <c r="B142" s="211"/>
      <c r="C142" s="211"/>
      <c r="D142" s="211"/>
      <c r="E142" s="211"/>
      <c r="F142" s="211"/>
      <c r="G142" s="211"/>
      <c r="H142" s="211"/>
      <c r="I142" s="211"/>
    </row>
    <row r="143" spans="1:12" s="212" customFormat="1" ht="14.25" customHeight="1">
      <c r="B143" s="211"/>
      <c r="C143" s="214" t="s">
        <v>201</v>
      </c>
      <c r="D143" s="214" t="s">
        <v>202</v>
      </c>
      <c r="E143" s="211"/>
      <c r="F143" s="211"/>
      <c r="G143" s="440" t="s">
        <v>203</v>
      </c>
      <c r="H143" s="440"/>
      <c r="I143" s="440"/>
      <c r="J143" s="440"/>
      <c r="K143" s="440"/>
      <c r="L143" s="440"/>
    </row>
    <row r="144" spans="1:12" ht="14.25" customHeight="1">
      <c r="A144" s="81"/>
      <c r="B144" s="215" t="s">
        <v>204</v>
      </c>
      <c r="C144" s="216">
        <f>ﾃﾝﾌﾟﾚｰﾄ!L73</f>
        <v>195862263</v>
      </c>
      <c r="D144" s="217">
        <f>C144+B95-J95</f>
        <v>199184529</v>
      </c>
      <c r="E144" s="211"/>
      <c r="F144" s="211"/>
      <c r="G144" s="440"/>
      <c r="H144" s="440"/>
      <c r="I144" s="440"/>
      <c r="J144" s="440"/>
      <c r="K144" s="440"/>
      <c r="L144" s="440"/>
    </row>
    <row r="145" spans="1:12" ht="14.25" customHeight="1">
      <c r="A145" s="81"/>
      <c r="B145" s="81"/>
      <c r="C145" s="81"/>
      <c r="D145" s="81"/>
      <c r="E145" s="81"/>
      <c r="F145" s="81"/>
      <c r="G145" s="440"/>
      <c r="H145" s="440"/>
      <c r="I145" s="440"/>
      <c r="J145" s="440"/>
      <c r="K145" s="440"/>
      <c r="L145" s="440"/>
    </row>
    <row r="146" spans="1:12" s="212" customFormat="1" ht="14.25" customHeight="1">
      <c r="A146" s="211"/>
      <c r="B146" s="218" t="s">
        <v>205</v>
      </c>
      <c r="C146" s="214" t="s">
        <v>201</v>
      </c>
      <c r="D146" s="214" t="s">
        <v>202</v>
      </c>
      <c r="E146" s="165" t="s">
        <v>206</v>
      </c>
      <c r="F146" s="211"/>
      <c r="G146" s="440"/>
      <c r="H146" s="440"/>
      <c r="I146" s="440"/>
      <c r="J146" s="440"/>
      <c r="K146" s="440"/>
      <c r="L146" s="440"/>
    </row>
    <row r="147" spans="1:12" s="212" customFormat="1" ht="14.25" customHeight="1">
      <c r="A147" s="211"/>
      <c r="B147" s="219" t="s">
        <v>207</v>
      </c>
      <c r="C147" s="220">
        <f>ﾃﾝﾌﾟﾚｰﾄ!D6</f>
        <v>63</v>
      </c>
      <c r="D147" s="221">
        <f>C147+ﾃﾝﾌﾟﾚｰﾄ!D31</f>
        <v>65</v>
      </c>
      <c r="E147" s="222">
        <f>(D147-C147)/C147</f>
        <v>3.1746031746031744E-2</v>
      </c>
      <c r="F147" s="223" t="str">
        <f t="shared" ref="F147:F155" si="6">IF(E147&gt;0,"↑","↓")</f>
        <v>↑</v>
      </c>
      <c r="G147" s="440"/>
      <c r="H147" s="440"/>
      <c r="I147" s="440"/>
      <c r="J147" s="440"/>
      <c r="K147" s="440"/>
      <c r="L147" s="440"/>
    </row>
    <row r="148" spans="1:12" s="212" customFormat="1" ht="14.25" customHeight="1">
      <c r="A148" s="238" t="s">
        <v>338</v>
      </c>
      <c r="B148" s="224" t="s">
        <v>330</v>
      </c>
      <c r="C148" s="225">
        <f>C29</f>
        <v>335475288</v>
      </c>
      <c r="D148" s="226">
        <f>H29</f>
        <v>402190812.76923072</v>
      </c>
      <c r="E148" s="222">
        <f>(D148-C148)/C148</f>
        <v>0.19886867127223606</v>
      </c>
      <c r="F148" s="223" t="str">
        <f t="shared" si="6"/>
        <v>↑</v>
      </c>
      <c r="G148" s="440"/>
      <c r="H148" s="440"/>
      <c r="I148" s="440"/>
      <c r="J148" s="440"/>
      <c r="K148" s="440"/>
      <c r="L148" s="440"/>
    </row>
    <row r="149" spans="1:12" s="212" customFormat="1" ht="14.25" customHeight="1">
      <c r="A149" s="238" t="s">
        <v>339</v>
      </c>
      <c r="B149" s="224" t="s">
        <v>331</v>
      </c>
      <c r="C149" s="227">
        <f>C164/C147</f>
        <v>7802539.6825396828</v>
      </c>
      <c r="D149" s="228">
        <f>H164/$D$147</f>
        <v>9200461.538461538</v>
      </c>
      <c r="E149" s="222">
        <f>(D149-C149)/C149</f>
        <v>0.17916241541841663</v>
      </c>
      <c r="F149" s="223" t="str">
        <f t="shared" si="6"/>
        <v>↑</v>
      </c>
      <c r="G149" s="440"/>
      <c r="H149" s="440"/>
      <c r="I149" s="440"/>
      <c r="J149" s="440"/>
      <c r="K149" s="440"/>
      <c r="L149" s="440"/>
    </row>
    <row r="150" spans="1:12" s="212" customFormat="1" ht="14.25" customHeight="1">
      <c r="A150" s="238" t="s">
        <v>340</v>
      </c>
      <c r="B150" s="224" t="s">
        <v>332</v>
      </c>
      <c r="C150" s="227">
        <f>C167/C147</f>
        <v>4307385.5238095243</v>
      </c>
      <c r="D150" s="228">
        <f>H167/$D$147</f>
        <v>5079230.769230769</v>
      </c>
      <c r="E150" s="222">
        <f t="shared" ref="E150:E155" si="7">(D150-C150)/C150</f>
        <v>0.17919112212147936</v>
      </c>
      <c r="F150" s="223" t="str">
        <f t="shared" si="6"/>
        <v>↑</v>
      </c>
      <c r="G150" s="440"/>
      <c r="H150" s="440"/>
      <c r="I150" s="440"/>
      <c r="J150" s="440"/>
      <c r="K150" s="440"/>
      <c r="L150" s="440"/>
    </row>
    <row r="151" spans="1:12" s="212" customFormat="1" ht="14.25" customHeight="1">
      <c r="A151" s="238" t="s">
        <v>341</v>
      </c>
      <c r="B151" s="224" t="s">
        <v>333</v>
      </c>
      <c r="C151" s="227">
        <f>C171/C147</f>
        <v>2932623.6190476189</v>
      </c>
      <c r="D151" s="228">
        <f>H171/$D$147</f>
        <v>3822307.6923076925</v>
      </c>
      <c r="E151" s="222">
        <f t="shared" si="7"/>
        <v>0.30337478955073066</v>
      </c>
      <c r="F151" s="223" t="str">
        <f t="shared" si="6"/>
        <v>↑</v>
      </c>
      <c r="G151" s="440"/>
      <c r="H151" s="440"/>
      <c r="I151" s="440"/>
      <c r="J151" s="440"/>
      <c r="K151" s="440"/>
      <c r="L151" s="440"/>
    </row>
    <row r="152" spans="1:12" s="212" customFormat="1" ht="14.25" customHeight="1">
      <c r="A152" s="238" t="s">
        <v>342</v>
      </c>
      <c r="B152" s="224" t="s">
        <v>334</v>
      </c>
      <c r="C152" s="227">
        <f>C148/C147</f>
        <v>5325004.5714285718</v>
      </c>
      <c r="D152" s="228">
        <f>D148/$D$147</f>
        <v>6187550.9656804726</v>
      </c>
      <c r="E152" s="222">
        <f t="shared" si="7"/>
        <v>0.16198040446385947</v>
      </c>
      <c r="F152" s="223" t="str">
        <f t="shared" si="6"/>
        <v>↑</v>
      </c>
      <c r="G152" s="440"/>
      <c r="H152" s="440"/>
      <c r="I152" s="440"/>
      <c r="J152" s="440"/>
      <c r="K152" s="440"/>
      <c r="L152" s="440"/>
    </row>
    <row r="153" spans="1:12" s="212" customFormat="1" ht="14.25" customHeight="1">
      <c r="A153" s="238" t="s">
        <v>343</v>
      </c>
      <c r="B153" s="224" t="s">
        <v>335</v>
      </c>
      <c r="C153" s="229">
        <f>C148/C164</f>
        <v>0.68247068109691589</v>
      </c>
      <c r="D153" s="222">
        <f>D148/H164</f>
        <v>0.67252614880395756</v>
      </c>
      <c r="E153" s="222">
        <f>(D153-C153)/C153</f>
        <v>-1.4571369244719442E-2</v>
      </c>
      <c r="F153" s="223" t="str">
        <f t="shared" si="6"/>
        <v>↓</v>
      </c>
      <c r="G153" s="440"/>
      <c r="H153" s="440"/>
      <c r="I153" s="440"/>
      <c r="J153" s="440"/>
      <c r="K153" s="440"/>
      <c r="L153" s="440"/>
    </row>
    <row r="154" spans="1:12" s="212" customFormat="1" ht="14.25" customHeight="1">
      <c r="A154" s="238" t="s">
        <v>344</v>
      </c>
      <c r="B154" s="224" t="s">
        <v>336</v>
      </c>
      <c r="C154" s="230">
        <f>C164/C144</f>
        <v>2.5097228658079991</v>
      </c>
      <c r="D154" s="231">
        <f>H164/$D$144</f>
        <v>3.0023918172881792</v>
      </c>
      <c r="E154" s="222">
        <f t="shared" si="7"/>
        <v>0.19630412512561085</v>
      </c>
      <c r="F154" s="223" t="str">
        <f t="shared" si="6"/>
        <v>↑</v>
      </c>
      <c r="G154" s="440"/>
      <c r="H154" s="440"/>
      <c r="I154" s="440"/>
      <c r="J154" s="440"/>
      <c r="K154" s="440"/>
      <c r="L154" s="440"/>
    </row>
    <row r="155" spans="1:12" ht="14.25" customHeight="1">
      <c r="A155" s="350" t="s">
        <v>345</v>
      </c>
      <c r="B155" s="224" t="s">
        <v>337</v>
      </c>
      <c r="C155" s="232">
        <f>C144/C147</f>
        <v>3108924.8095238097</v>
      </c>
      <c r="D155" s="232">
        <f>D144/D147</f>
        <v>3064377.3692307691</v>
      </c>
      <c r="E155" s="222">
        <f t="shared" si="7"/>
        <v>-1.4328889575127381E-2</v>
      </c>
      <c r="F155" s="223" t="str">
        <f t="shared" si="6"/>
        <v>↓</v>
      </c>
      <c r="G155" s="440"/>
      <c r="H155" s="440"/>
      <c r="I155" s="440"/>
      <c r="J155" s="440"/>
      <c r="K155" s="440"/>
      <c r="L155" s="440"/>
    </row>
    <row r="156" spans="1:12" ht="14.25" customHeight="1">
      <c r="A156" s="233" t="s">
        <v>208</v>
      </c>
      <c r="B156" s="81"/>
      <c r="C156" s="234"/>
      <c r="D156" s="234"/>
      <c r="E156" s="211"/>
      <c r="F156" s="235"/>
      <c r="G156" s="211"/>
      <c r="H156" s="211"/>
      <c r="I156" s="234"/>
      <c r="J156" s="236"/>
      <c r="K156" s="236"/>
    </row>
    <row r="159" spans="1:12" ht="19.5" customHeight="1">
      <c r="A159" s="209" t="s">
        <v>209</v>
      </c>
      <c r="B159" s="210"/>
      <c r="C159" s="210"/>
      <c r="D159" s="210"/>
      <c r="E159" s="210"/>
      <c r="F159" s="210"/>
      <c r="G159" s="210"/>
      <c r="H159" s="210"/>
      <c r="I159" s="210"/>
    </row>
    <row r="162" spans="1:9" s="212" customFormat="1" ht="14.25" customHeight="1">
      <c r="A162" s="233" t="s">
        <v>210</v>
      </c>
      <c r="B162" s="211"/>
      <c r="C162" s="211"/>
      <c r="D162" s="211"/>
      <c r="E162" s="211"/>
      <c r="F162" s="211"/>
      <c r="G162" s="211"/>
      <c r="H162" s="211"/>
      <c r="I162" s="211"/>
    </row>
    <row r="163" spans="1:9" s="212" customFormat="1" ht="14.25" customHeight="1">
      <c r="A163" s="211"/>
      <c r="B163" s="211"/>
      <c r="C163" s="237" t="s">
        <v>211</v>
      </c>
      <c r="D163" s="237" t="s">
        <v>118</v>
      </c>
      <c r="E163" s="237" t="s">
        <v>119</v>
      </c>
      <c r="F163" s="237" t="s">
        <v>120</v>
      </c>
      <c r="G163" s="237" t="s">
        <v>121</v>
      </c>
      <c r="H163" s="237" t="s">
        <v>122</v>
      </c>
      <c r="I163" s="211"/>
    </row>
    <row r="164" spans="1:9" s="212" customFormat="1" ht="14.25" customHeight="1">
      <c r="A164" s="211"/>
      <c r="B164" s="211" t="s">
        <v>212</v>
      </c>
      <c r="C164" s="228">
        <f t="shared" ref="C164:H164" si="8">C16</f>
        <v>491560000</v>
      </c>
      <c r="D164" s="228">
        <f t="shared" si="8"/>
        <v>511220000</v>
      </c>
      <c r="E164" s="228">
        <f t="shared" si="8"/>
        <v>531660000</v>
      </c>
      <c r="F164" s="228">
        <f t="shared" si="8"/>
        <v>552920000</v>
      </c>
      <c r="G164" s="228">
        <f t="shared" si="8"/>
        <v>575030000</v>
      </c>
      <c r="H164" s="228">
        <f t="shared" si="8"/>
        <v>598030000</v>
      </c>
      <c r="I164" s="211"/>
    </row>
    <row r="165" spans="1:9" s="212" customFormat="1" ht="14.25" customHeight="1">
      <c r="A165" s="211"/>
      <c r="B165" s="211" t="s">
        <v>213</v>
      </c>
      <c r="C165" s="228">
        <f>C18</f>
        <v>220194712</v>
      </c>
      <c r="D165" s="228">
        <f>TRUNC(D164*D166,-4)</f>
        <v>229000000</v>
      </c>
      <c r="E165" s="228">
        <f>TRUNC(E164*E166,-4)</f>
        <v>238150000</v>
      </c>
      <c r="F165" s="228">
        <f>TRUNC(F164*F166,-4)</f>
        <v>247680000</v>
      </c>
      <c r="G165" s="228">
        <f>TRUNC(G164*G166,-4)</f>
        <v>257580000</v>
      </c>
      <c r="H165" s="228">
        <f>TRUNC(H164*H166,-4)</f>
        <v>267880000</v>
      </c>
      <c r="I165" s="211"/>
    </row>
    <row r="166" spans="1:9" s="212" customFormat="1" ht="14.25" customHeight="1">
      <c r="A166" s="211"/>
      <c r="B166" s="238" t="s">
        <v>214</v>
      </c>
      <c r="C166" s="222">
        <f>C165/C164</f>
        <v>0.4479508340792579</v>
      </c>
      <c r="D166" s="222">
        <f>C166</f>
        <v>0.4479508340792579</v>
      </c>
      <c r="E166" s="222">
        <f>D166</f>
        <v>0.4479508340792579</v>
      </c>
      <c r="F166" s="222">
        <f>E166</f>
        <v>0.4479508340792579</v>
      </c>
      <c r="G166" s="222">
        <f>F166</f>
        <v>0.4479508340792579</v>
      </c>
      <c r="H166" s="222">
        <f>G166</f>
        <v>0.4479508340792579</v>
      </c>
      <c r="I166" s="211"/>
    </row>
    <row r="167" spans="1:9" s="212" customFormat="1" ht="14.25" customHeight="1">
      <c r="A167" s="211"/>
      <c r="B167" s="211" t="s">
        <v>215</v>
      </c>
      <c r="C167" s="228">
        <f t="shared" ref="C167:H167" si="9">C164-C165</f>
        <v>271365288</v>
      </c>
      <c r="D167" s="228">
        <f t="shared" si="9"/>
        <v>282220000</v>
      </c>
      <c r="E167" s="228">
        <f t="shared" si="9"/>
        <v>293510000</v>
      </c>
      <c r="F167" s="228">
        <f t="shared" si="9"/>
        <v>305240000</v>
      </c>
      <c r="G167" s="228">
        <f t="shared" si="9"/>
        <v>317450000</v>
      </c>
      <c r="H167" s="228">
        <f t="shared" si="9"/>
        <v>330150000</v>
      </c>
      <c r="I167" s="211"/>
    </row>
    <row r="168" spans="1:9" s="212" customFormat="1" ht="14.25" customHeight="1">
      <c r="A168" s="211"/>
      <c r="B168" s="238" t="s">
        <v>216</v>
      </c>
      <c r="C168" s="222">
        <f t="shared" ref="C168:H168" si="10">C167/C164</f>
        <v>0.55204916592074216</v>
      </c>
      <c r="D168" s="222">
        <f t="shared" si="10"/>
        <v>0.55205195414889874</v>
      </c>
      <c r="E168" s="222">
        <f t="shared" si="10"/>
        <v>0.55206334875672425</v>
      </c>
      <c r="F168" s="222">
        <f t="shared" si="10"/>
        <v>0.55205092961007018</v>
      </c>
      <c r="G168" s="222">
        <f t="shared" si="10"/>
        <v>0.55205815348764409</v>
      </c>
      <c r="H168" s="222">
        <f t="shared" si="10"/>
        <v>0.55206260555490527</v>
      </c>
      <c r="I168" s="211"/>
    </row>
    <row r="169" spans="1:9" s="212" customFormat="1" ht="14.25" customHeight="1">
      <c r="A169" s="211"/>
      <c r="B169" s="235" t="s">
        <v>217</v>
      </c>
      <c r="C169" s="228">
        <f t="shared" ref="C169:G169" si="11">C18+C21-C165</f>
        <v>86610000</v>
      </c>
      <c r="D169" s="228">
        <f t="shared" si="11"/>
        <v>83640000</v>
      </c>
      <c r="E169" s="228">
        <f t="shared" si="11"/>
        <v>82970000</v>
      </c>
      <c r="F169" s="228">
        <f t="shared" si="11"/>
        <v>83000000</v>
      </c>
      <c r="G169" s="228">
        <f t="shared" si="11"/>
        <v>82410000</v>
      </c>
      <c r="H169" s="228">
        <f>H18+H21-H165</f>
        <v>81700000</v>
      </c>
      <c r="I169" s="211"/>
    </row>
    <row r="170" spans="1:9" s="212" customFormat="1" ht="14.25" customHeight="1">
      <c r="A170" s="211"/>
      <c r="B170" s="235"/>
      <c r="C170" s="222">
        <f t="shared" ref="C170:H170" si="12">C169/C164</f>
        <v>0.17619415737651559</v>
      </c>
      <c r="D170" s="222">
        <f t="shared" si="12"/>
        <v>0.16360862251085639</v>
      </c>
      <c r="E170" s="222">
        <f t="shared" si="12"/>
        <v>0.15605838317721851</v>
      </c>
      <c r="F170" s="222">
        <f t="shared" si="12"/>
        <v>0.15011213195398973</v>
      </c>
      <c r="G170" s="222">
        <f t="shared" si="12"/>
        <v>0.14331426186459836</v>
      </c>
      <c r="H170" s="222">
        <f t="shared" si="12"/>
        <v>0.13661521997224219</v>
      </c>
      <c r="I170" s="211"/>
    </row>
    <row r="171" spans="1:9" s="212" customFormat="1" ht="14.25" customHeight="1">
      <c r="A171" s="211"/>
      <c r="B171" s="211" t="s">
        <v>218</v>
      </c>
      <c r="C171" s="228">
        <f t="shared" ref="C171:G171" si="13">C167-C169</f>
        <v>184755288</v>
      </c>
      <c r="D171" s="228">
        <f t="shared" si="13"/>
        <v>198580000</v>
      </c>
      <c r="E171" s="228">
        <f t="shared" si="13"/>
        <v>210540000</v>
      </c>
      <c r="F171" s="228">
        <f t="shared" si="13"/>
        <v>222240000</v>
      </c>
      <c r="G171" s="228">
        <f t="shared" si="13"/>
        <v>235040000</v>
      </c>
      <c r="H171" s="228">
        <f>H167-H169</f>
        <v>248450000</v>
      </c>
      <c r="I171" s="211"/>
    </row>
    <row r="172" spans="1:9" s="212" customFormat="1" ht="14.25" customHeight="1">
      <c r="A172" s="211"/>
      <c r="B172" s="239" t="s">
        <v>219</v>
      </c>
      <c r="C172" s="222">
        <f t="shared" ref="C172:H172" si="14">C171/C164</f>
        <v>0.37585500854422654</v>
      </c>
      <c r="D172" s="222">
        <f t="shared" si="14"/>
        <v>0.38844333163804234</v>
      </c>
      <c r="E172" s="222">
        <f t="shared" si="14"/>
        <v>0.39600496557950571</v>
      </c>
      <c r="F172" s="222">
        <f t="shared" si="14"/>
        <v>0.40193879765608043</v>
      </c>
      <c r="G172" s="222">
        <f t="shared" si="14"/>
        <v>0.40874389162304575</v>
      </c>
      <c r="H172" s="222">
        <f t="shared" si="14"/>
        <v>0.41544738558266309</v>
      </c>
      <c r="I172" s="211"/>
    </row>
    <row r="173" spans="1:9" s="212" customFormat="1" ht="14.25" customHeight="1">
      <c r="A173" s="211"/>
      <c r="B173" s="211"/>
      <c r="C173" s="211"/>
      <c r="D173" s="211"/>
      <c r="E173" s="211"/>
      <c r="F173" s="211"/>
      <c r="G173" s="211"/>
      <c r="H173" s="211"/>
      <c r="I173" s="211"/>
    </row>
    <row r="174" spans="1:9" s="212" customFormat="1" ht="14.25" customHeight="1">
      <c r="A174" s="211"/>
      <c r="B174" s="211" t="s">
        <v>220</v>
      </c>
      <c r="C174" s="228">
        <f t="shared" ref="C174:G174" si="15">C169/(1-C166)</f>
        <v>156888200.08548775</v>
      </c>
      <c r="D174" s="228">
        <f>D169/(1-D166)</f>
        <v>151508244.48851398</v>
      </c>
      <c r="E174" s="228">
        <f t="shared" si="15"/>
        <v>150294584.47168824</v>
      </c>
      <c r="F174" s="228">
        <f t="shared" si="15"/>
        <v>150348927.45751625</v>
      </c>
      <c r="G174" s="228">
        <f t="shared" si="15"/>
        <v>149280182.06956524</v>
      </c>
      <c r="H174" s="228">
        <f>H169/(1-H166)</f>
        <v>147994064.73830214</v>
      </c>
      <c r="I174" s="211"/>
    </row>
    <row r="175" spans="1:9" s="212" customFormat="1" ht="14.25" customHeight="1">
      <c r="A175" s="211"/>
      <c r="B175" s="211" t="s">
        <v>221</v>
      </c>
      <c r="C175" s="222">
        <f t="shared" ref="C175:H175" si="16">C174/C164</f>
        <v>0.31916388657638489</v>
      </c>
      <c r="D175" s="222">
        <f t="shared" si="16"/>
        <v>0.29636603514830012</v>
      </c>
      <c r="E175" s="222">
        <f t="shared" si="16"/>
        <v>0.28268928351143258</v>
      </c>
      <c r="F175" s="222">
        <f t="shared" si="16"/>
        <v>0.27191804864630736</v>
      </c>
      <c r="G175" s="222">
        <f t="shared" si="16"/>
        <v>0.25960416338202397</v>
      </c>
      <c r="H175" s="222">
        <f t="shared" si="16"/>
        <v>0.24746929876143695</v>
      </c>
      <c r="I175" s="211"/>
    </row>
    <row r="176" spans="1:9" s="212" customFormat="1" ht="14.25" customHeight="1">
      <c r="A176" s="211"/>
      <c r="B176" s="211"/>
      <c r="C176" s="211"/>
      <c r="D176" s="211"/>
      <c r="E176" s="211"/>
      <c r="F176" s="211"/>
      <c r="G176" s="211"/>
      <c r="H176" s="211"/>
      <c r="I176" s="211"/>
    </row>
    <row r="177" spans="1:9" s="212" customFormat="1" ht="14.25" customHeight="1">
      <c r="A177" s="211"/>
      <c r="B177" s="211"/>
      <c r="C177" s="211"/>
      <c r="D177" s="211"/>
      <c r="E177" s="211"/>
      <c r="F177" s="211"/>
      <c r="G177" s="211"/>
      <c r="H177" s="211"/>
      <c r="I177" s="211"/>
    </row>
    <row r="178" spans="1:9" s="212" customFormat="1" ht="14.25" customHeight="1">
      <c r="B178" s="211" t="s">
        <v>222</v>
      </c>
      <c r="C178" s="226">
        <f t="shared" ref="C178:H178" si="17">C21</f>
        <v>86610000</v>
      </c>
      <c r="D178" s="226">
        <f t="shared" si="17"/>
        <v>90740000</v>
      </c>
      <c r="E178" s="226">
        <f t="shared" si="17"/>
        <v>93930000</v>
      </c>
      <c r="F178" s="226">
        <f t="shared" si="17"/>
        <v>96840000</v>
      </c>
      <c r="G178" s="226">
        <f t="shared" si="17"/>
        <v>98690000</v>
      </c>
      <c r="H178" s="226">
        <f t="shared" si="17"/>
        <v>100180000</v>
      </c>
      <c r="I178" s="211"/>
    </row>
    <row r="179" spans="1:9" s="212" customFormat="1" ht="14.25" customHeight="1">
      <c r="A179" s="211"/>
      <c r="B179" s="211" t="s">
        <v>223</v>
      </c>
      <c r="C179" s="228">
        <f>B114</f>
        <v>300000</v>
      </c>
      <c r="D179" s="226">
        <f>C179+B114</f>
        <v>600000</v>
      </c>
      <c r="E179" s="228">
        <f>D179</f>
        <v>600000</v>
      </c>
      <c r="F179" s="228">
        <f>E179</f>
        <v>600000</v>
      </c>
      <c r="G179" s="228">
        <f>F179</f>
        <v>600000</v>
      </c>
      <c r="H179" s="228">
        <f>G179</f>
        <v>600000</v>
      </c>
      <c r="I179" s="211"/>
    </row>
    <row r="180" spans="1:9" s="212" customFormat="1" ht="14.25" customHeight="1">
      <c r="A180" s="211"/>
      <c r="B180" s="211"/>
      <c r="C180" s="211"/>
      <c r="D180" s="211"/>
      <c r="E180" s="211"/>
      <c r="F180" s="211"/>
      <c r="G180" s="211"/>
      <c r="H180" s="211"/>
      <c r="I180" s="211"/>
    </row>
    <row r="181" spans="1:9" s="212" customFormat="1" ht="14.25" customHeight="1">
      <c r="A181" s="82" t="s">
        <v>224</v>
      </c>
      <c r="B181" s="211"/>
      <c r="C181" s="211"/>
      <c r="D181" s="211"/>
      <c r="E181" s="211"/>
      <c r="F181" s="211"/>
      <c r="G181" s="211"/>
      <c r="H181" s="211"/>
      <c r="I181" s="211"/>
    </row>
    <row r="182" spans="1:9" s="212" customFormat="1" ht="14.25" customHeight="1">
      <c r="A182" s="82"/>
      <c r="B182" s="211"/>
      <c r="C182" s="211"/>
      <c r="D182" s="211"/>
      <c r="E182" s="211"/>
      <c r="F182" s="211"/>
      <c r="G182" s="211"/>
      <c r="H182" s="211"/>
      <c r="I182" s="211"/>
    </row>
    <row r="183" spans="1:9" s="212" customFormat="1" ht="18" customHeight="1">
      <c r="A183" s="211"/>
      <c r="B183" s="237"/>
      <c r="C183" s="165" t="s">
        <v>225</v>
      </c>
      <c r="D183" s="165" t="s">
        <v>118</v>
      </c>
      <c r="E183" s="165" t="s">
        <v>119</v>
      </c>
      <c r="F183" s="165" t="s">
        <v>120</v>
      </c>
      <c r="G183" s="165" t="s">
        <v>121</v>
      </c>
      <c r="H183" s="165" t="s">
        <v>122</v>
      </c>
      <c r="I183" s="165" t="s">
        <v>226</v>
      </c>
    </row>
    <row r="184" spans="1:9" s="212" customFormat="1" ht="18" customHeight="1">
      <c r="A184" s="211"/>
      <c r="B184" s="218" t="s">
        <v>212</v>
      </c>
      <c r="C184" s="226">
        <f t="shared" ref="C184:H184" si="18">C164</f>
        <v>491560000</v>
      </c>
      <c r="D184" s="226">
        <f t="shared" si="18"/>
        <v>511220000</v>
      </c>
      <c r="E184" s="226">
        <f t="shared" si="18"/>
        <v>531660000</v>
      </c>
      <c r="F184" s="226">
        <f t="shared" si="18"/>
        <v>552920000</v>
      </c>
      <c r="G184" s="226">
        <f t="shared" si="18"/>
        <v>575030000</v>
      </c>
      <c r="H184" s="226">
        <f t="shared" si="18"/>
        <v>598030000</v>
      </c>
      <c r="I184" s="218"/>
    </row>
    <row r="185" spans="1:9" s="212" customFormat="1" ht="18" customHeight="1">
      <c r="A185" s="211"/>
      <c r="B185" s="218" t="s">
        <v>220</v>
      </c>
      <c r="C185" s="226">
        <f t="shared" ref="C185:H186" si="19">C174</f>
        <v>156888200.08548775</v>
      </c>
      <c r="D185" s="226">
        <f>D174</f>
        <v>151508244.48851398</v>
      </c>
      <c r="E185" s="226">
        <f t="shared" si="19"/>
        <v>150294584.47168824</v>
      </c>
      <c r="F185" s="226">
        <f t="shared" si="19"/>
        <v>150348927.45751625</v>
      </c>
      <c r="G185" s="226">
        <f t="shared" si="19"/>
        <v>149280182.06956524</v>
      </c>
      <c r="H185" s="226">
        <f t="shared" si="19"/>
        <v>147994064.73830214</v>
      </c>
      <c r="I185" s="218"/>
    </row>
    <row r="186" spans="1:9" s="212" customFormat="1" ht="18" customHeight="1">
      <c r="A186" s="211"/>
      <c r="B186" s="218" t="s">
        <v>221</v>
      </c>
      <c r="C186" s="240">
        <f t="shared" si="19"/>
        <v>0.31916388657638489</v>
      </c>
      <c r="D186" s="240">
        <f t="shared" si="19"/>
        <v>0.29636603514830012</v>
      </c>
      <c r="E186" s="240">
        <f t="shared" si="19"/>
        <v>0.28268928351143258</v>
      </c>
      <c r="F186" s="240">
        <f t="shared" si="19"/>
        <v>0.27191804864630736</v>
      </c>
      <c r="G186" s="240">
        <f t="shared" si="19"/>
        <v>0.25960416338202397</v>
      </c>
      <c r="H186" s="240">
        <f t="shared" si="19"/>
        <v>0.24746929876143695</v>
      </c>
      <c r="I186" s="218"/>
    </row>
    <row r="187" spans="1:9" s="212" customFormat="1" ht="14.25" customHeight="1">
      <c r="A187" s="211"/>
      <c r="B187" s="211"/>
      <c r="C187" s="211"/>
      <c r="D187" s="211"/>
      <c r="E187" s="211"/>
      <c r="F187" s="211"/>
      <c r="G187" s="211"/>
      <c r="H187" s="211"/>
      <c r="I187" s="211"/>
    </row>
    <row r="188" spans="1:9" s="212" customFormat="1" ht="14.25" customHeight="1">
      <c r="A188" s="211"/>
      <c r="B188" s="440" t="s">
        <v>227</v>
      </c>
      <c r="C188" s="440"/>
      <c r="D188" s="440"/>
      <c r="E188" s="440"/>
      <c r="F188" s="440"/>
      <c r="G188" s="440"/>
      <c r="H188" s="440"/>
      <c r="I188" s="440"/>
    </row>
    <row r="189" spans="1:9" s="212" customFormat="1" ht="14.25" customHeight="1">
      <c r="A189" s="211"/>
      <c r="B189" s="440"/>
      <c r="C189" s="440"/>
      <c r="D189" s="440"/>
      <c r="E189" s="440"/>
      <c r="F189" s="440"/>
      <c r="G189" s="440"/>
      <c r="H189" s="440"/>
      <c r="I189" s="440"/>
    </row>
    <row r="190" spans="1:9" s="212" customFormat="1" ht="14.25" customHeight="1">
      <c r="A190" s="211"/>
      <c r="B190" s="440"/>
      <c r="C190" s="440"/>
      <c r="D190" s="440"/>
      <c r="E190" s="440"/>
      <c r="F190" s="440"/>
      <c r="G190" s="440"/>
      <c r="H190" s="440"/>
      <c r="I190" s="440"/>
    </row>
    <row r="191" spans="1:9" s="212" customFormat="1" ht="14.25" customHeight="1">
      <c r="A191" s="211"/>
      <c r="B191" s="440"/>
      <c r="C191" s="440"/>
      <c r="D191" s="440"/>
      <c r="E191" s="440"/>
      <c r="F191" s="440"/>
      <c r="G191" s="440"/>
      <c r="H191" s="440"/>
      <c r="I191" s="440"/>
    </row>
    <row r="192" spans="1:9" s="212" customFormat="1" ht="14.25" customHeight="1">
      <c r="A192" s="211"/>
      <c r="B192" s="440"/>
      <c r="C192" s="440"/>
      <c r="D192" s="440"/>
      <c r="E192" s="440"/>
      <c r="F192" s="440"/>
      <c r="G192" s="440"/>
      <c r="H192" s="440"/>
      <c r="I192" s="440"/>
    </row>
    <row r="193" spans="1:9" s="212" customFormat="1" ht="14.25" customHeight="1">
      <c r="A193" s="211"/>
      <c r="B193" s="440"/>
      <c r="C193" s="440"/>
      <c r="D193" s="440"/>
      <c r="E193" s="440"/>
      <c r="F193" s="440"/>
      <c r="G193" s="440"/>
      <c r="H193" s="440"/>
      <c r="I193" s="440"/>
    </row>
    <row r="194" spans="1:9" s="212" customFormat="1" ht="14.25" customHeight="1">
      <c r="A194" s="211"/>
      <c r="B194" s="440"/>
      <c r="C194" s="440"/>
      <c r="D194" s="440"/>
      <c r="E194" s="440"/>
      <c r="F194" s="440"/>
      <c r="G194" s="440"/>
      <c r="H194" s="440"/>
      <c r="I194" s="440"/>
    </row>
    <row r="195" spans="1:9" s="212" customFormat="1" ht="14.25" customHeight="1">
      <c r="A195" s="211"/>
      <c r="B195" s="211"/>
      <c r="C195" s="211"/>
      <c r="D195" s="211"/>
      <c r="E195" s="211"/>
      <c r="F195" s="211"/>
      <c r="G195" s="211"/>
      <c r="H195" s="211"/>
      <c r="I195" s="211"/>
    </row>
    <row r="196" spans="1:9" s="212" customFormat="1" ht="14.25" customHeight="1">
      <c r="A196" s="211"/>
      <c r="B196" s="211"/>
      <c r="C196" s="211"/>
      <c r="D196" s="211"/>
      <c r="E196" s="211"/>
      <c r="F196" s="211"/>
      <c r="G196" s="211"/>
      <c r="H196" s="211"/>
      <c r="I196" s="211"/>
    </row>
    <row r="197" spans="1:9" ht="18.75" customHeight="1">
      <c r="A197" s="209" t="s">
        <v>228</v>
      </c>
      <c r="B197" s="210"/>
      <c r="C197" s="210"/>
      <c r="D197" s="210"/>
      <c r="E197" s="210"/>
      <c r="F197" s="210"/>
      <c r="G197" s="210"/>
      <c r="H197" s="210"/>
      <c r="I197" s="210"/>
    </row>
    <row r="199" spans="1:9">
      <c r="B199" s="80" t="s">
        <v>229</v>
      </c>
    </row>
    <row r="201" spans="1:9" ht="33" customHeight="1">
      <c r="C201" s="198" t="s">
        <v>230</v>
      </c>
      <c r="D201" s="198" t="s">
        <v>231</v>
      </c>
      <c r="E201" s="198" t="s">
        <v>232</v>
      </c>
      <c r="F201" s="309" t="s">
        <v>297</v>
      </c>
    </row>
    <row r="202" spans="1:9" ht="44.25" customHeight="1">
      <c r="B202" s="241" t="s">
        <v>233</v>
      </c>
      <c r="C202" s="242">
        <f>TRUNC($C$29/$C$147)</f>
        <v>5325004</v>
      </c>
      <c r="D202" s="242">
        <f>TRUNC($H$29/$D$147)</f>
        <v>6187550</v>
      </c>
      <c r="E202" s="243">
        <f>(D202-C202)/C202</f>
        <v>0.16198034780818943</v>
      </c>
      <c r="F202" s="202" t="str">
        <f>IF(E202&gt;=15%,"OK","NG")</f>
        <v>OK</v>
      </c>
    </row>
    <row r="203" spans="1:9" ht="47.25" customHeight="1">
      <c r="B203" s="241" t="s">
        <v>234</v>
      </c>
      <c r="C203" s="244">
        <f>ROUND($C$29/$C$147,-3)/1000</f>
        <v>5325</v>
      </c>
      <c r="D203" s="244">
        <f>ROUND(($H$29/$D$147),-3)/1000</f>
        <v>6188</v>
      </c>
      <c r="E203" s="243">
        <f>(D203-C203)/C203</f>
        <v>0.16206572769953051</v>
      </c>
      <c r="F203" s="202" t="str">
        <f>IF(E203&gt;=15%,"OK","NG")</f>
        <v>OK</v>
      </c>
    </row>
    <row r="205" spans="1:9" s="212" customFormat="1" ht="14.25" customHeight="1">
      <c r="A205" s="211"/>
      <c r="B205" s="211"/>
      <c r="C205" s="211"/>
      <c r="D205" s="211"/>
      <c r="E205" s="211"/>
      <c r="F205" s="211"/>
      <c r="G205" s="211"/>
      <c r="H205" s="211"/>
      <c r="I205" s="211"/>
    </row>
    <row r="209" spans="1:10" s="245" customFormat="1" ht="19.5">
      <c r="A209" s="209" t="s">
        <v>235</v>
      </c>
      <c r="B209" s="210"/>
      <c r="C209" s="210"/>
      <c r="D209" s="210"/>
      <c r="E209" s="210"/>
      <c r="F209" s="210"/>
      <c r="G209" s="210"/>
      <c r="H209" s="210"/>
      <c r="I209" s="210"/>
    </row>
    <row r="210" spans="1:10" s="245" customFormat="1" ht="30">
      <c r="A210" s="246"/>
    </row>
    <row r="211" spans="1:10" s="245" customFormat="1">
      <c r="A211" s="247" t="s">
        <v>236</v>
      </c>
    </row>
    <row r="212" spans="1:10" s="245" customFormat="1">
      <c r="B212" s="248" t="s">
        <v>237</v>
      </c>
      <c r="C212" s="249">
        <v>10000000</v>
      </c>
    </row>
    <row r="213" spans="1:10" s="245" customFormat="1">
      <c r="B213" s="248" t="s">
        <v>238</v>
      </c>
      <c r="C213" s="249">
        <v>3640000</v>
      </c>
      <c r="J213" s="250"/>
    </row>
    <row r="214" spans="1:10" s="245" customFormat="1">
      <c r="B214" s="248" t="s">
        <v>239</v>
      </c>
      <c r="C214" s="251">
        <f>C213/C212</f>
        <v>0.36399999999999999</v>
      </c>
    </row>
    <row r="215" spans="1:10" s="245" customFormat="1"/>
    <row r="216" spans="1:10" s="245" customFormat="1">
      <c r="A216" s="247" t="s">
        <v>240</v>
      </c>
      <c r="G216" s="250"/>
    </row>
    <row r="217" spans="1:10" s="245" customFormat="1">
      <c r="B217" s="250" t="s">
        <v>241</v>
      </c>
      <c r="C217" s="249">
        <v>30000000</v>
      </c>
      <c r="D217" s="250" t="s">
        <v>242</v>
      </c>
      <c r="G217" s="250"/>
    </row>
    <row r="218" spans="1:10" s="245" customFormat="1">
      <c r="B218" s="250" t="s">
        <v>243</v>
      </c>
      <c r="C218" s="249">
        <v>55000000</v>
      </c>
      <c r="D218" s="250" t="s">
        <v>244</v>
      </c>
      <c r="G218" s="250"/>
    </row>
    <row r="219" spans="1:10" s="245" customFormat="1">
      <c r="G219" s="250"/>
    </row>
    <row r="220" spans="1:10" s="245" customFormat="1">
      <c r="G220" s="250"/>
    </row>
    <row r="221" spans="1:10" s="245" customFormat="1">
      <c r="B221" s="250" t="s">
        <v>245</v>
      </c>
      <c r="C221" s="252">
        <v>0.08</v>
      </c>
      <c r="G221" s="250"/>
    </row>
    <row r="222" spans="1:10" s="245" customFormat="1" ht="19.5" thickBot="1">
      <c r="B222" s="250" t="s">
        <v>246</v>
      </c>
      <c r="C222" s="253">
        <f>計算ワーク!B106</f>
        <v>0.02</v>
      </c>
      <c r="G222" s="250"/>
    </row>
    <row r="223" spans="1:10" s="245" customFormat="1" ht="24" customHeight="1" thickTop="1">
      <c r="B223" s="250" t="s">
        <v>247</v>
      </c>
      <c r="C223" s="254">
        <f>C221*C217/(C217+C218)+C222*(1-C214)*C218/(C217+C218)</f>
        <v>3.6465882352941181E-2</v>
      </c>
      <c r="D223" s="255" t="s">
        <v>248</v>
      </c>
    </row>
    <row r="224" spans="1:10" s="245" customFormat="1"/>
    <row r="225" spans="2:9" s="245" customFormat="1">
      <c r="B225" s="256"/>
      <c r="C225" s="257" t="s">
        <v>249</v>
      </c>
      <c r="D225" s="257" t="s">
        <v>250</v>
      </c>
      <c r="E225" s="257" t="s">
        <v>251</v>
      </c>
      <c r="F225" s="257" t="s">
        <v>252</v>
      </c>
      <c r="G225" s="257" t="s">
        <v>253</v>
      </c>
      <c r="H225" s="258" t="s">
        <v>254</v>
      </c>
      <c r="I225" s="257" t="s">
        <v>71</v>
      </c>
    </row>
    <row r="226" spans="2:9" s="245" customFormat="1">
      <c r="B226" s="259" t="s">
        <v>255</v>
      </c>
      <c r="C226" s="407"/>
      <c r="D226" s="260">
        <f>計算ワーク!D22</f>
        <v>198580000</v>
      </c>
      <c r="E226" s="260">
        <f>計算ワーク!E22</f>
        <v>210540000</v>
      </c>
      <c r="F226" s="260">
        <f>計算ワーク!F22</f>
        <v>222240000</v>
      </c>
      <c r="G226" s="260">
        <f>計算ワーク!G22</f>
        <v>235040000</v>
      </c>
      <c r="H226" s="260">
        <f>計算ワーク!H22</f>
        <v>248450000</v>
      </c>
      <c r="I226" s="261">
        <f>SUM(C226:H226)</f>
        <v>1114850000</v>
      </c>
    </row>
    <row r="227" spans="2:9" s="245" customFormat="1">
      <c r="B227" s="259" t="s">
        <v>256</v>
      </c>
      <c r="C227" s="408"/>
      <c r="D227" s="260">
        <f>D226*(1-$C$214)</f>
        <v>126296880</v>
      </c>
      <c r="E227" s="260">
        <f>E226*(1-$C$214)</f>
        <v>133903440</v>
      </c>
      <c r="F227" s="260">
        <f>F226*(1-$C$214)</f>
        <v>141344640</v>
      </c>
      <c r="G227" s="260">
        <f>G226*(1-$C$214)</f>
        <v>149485440</v>
      </c>
      <c r="H227" s="260">
        <f>H226*(1-$C$214)</f>
        <v>158014200</v>
      </c>
      <c r="I227" s="260">
        <f>SUM(C227:H227)</f>
        <v>709044600</v>
      </c>
    </row>
    <row r="228" spans="2:9" s="245" customFormat="1">
      <c r="B228" s="259" t="s">
        <v>257</v>
      </c>
      <c r="C228" s="408"/>
      <c r="D228" s="260">
        <f>計算ワーク!D28</f>
        <v>3750000</v>
      </c>
      <c r="E228" s="260">
        <f>計算ワーク!E28</f>
        <v>2812500</v>
      </c>
      <c r="F228" s="260">
        <f>計算ワーク!F28</f>
        <v>2531250</v>
      </c>
      <c r="G228" s="260">
        <f>計算ワーク!G28</f>
        <v>1476562</v>
      </c>
      <c r="H228" s="260">
        <f>計算ワーク!H28</f>
        <v>1107422</v>
      </c>
      <c r="I228" s="262"/>
    </row>
    <row r="229" spans="2:9" s="245" customFormat="1">
      <c r="B229" s="263" t="s">
        <v>258</v>
      </c>
      <c r="C229" s="408"/>
      <c r="D229" s="264">
        <f>D228*$C$214</f>
        <v>1365000</v>
      </c>
      <c r="E229" s="264">
        <f>E228*$C$214</f>
        <v>1023750</v>
      </c>
      <c r="F229" s="264">
        <f>F228*$C$214</f>
        <v>921375</v>
      </c>
      <c r="G229" s="264">
        <f>G228*$C$214</f>
        <v>537468.56799999997</v>
      </c>
      <c r="H229" s="264">
        <f>H228*$C$214</f>
        <v>403101.60800000001</v>
      </c>
    </row>
    <row r="230" spans="2:9" s="245" customFormat="1">
      <c r="B230" s="265" t="s">
        <v>259</v>
      </c>
      <c r="C230" s="408"/>
      <c r="D230" s="266">
        <f>D227+D229</f>
        <v>127661880</v>
      </c>
      <c r="E230" s="266">
        <f>E227+E229</f>
        <v>134927190</v>
      </c>
      <c r="F230" s="266">
        <f>F227+F229</f>
        <v>142266015</v>
      </c>
      <c r="G230" s="266">
        <f>G227+G229</f>
        <v>150022908.56799999</v>
      </c>
      <c r="H230" s="266">
        <f>H227+H229</f>
        <v>158417301.60800001</v>
      </c>
      <c r="I230" s="260">
        <f>SUM(C230:H230)</f>
        <v>713295295.176</v>
      </c>
    </row>
    <row r="231" spans="2:9" s="245" customFormat="1">
      <c r="B231" s="259" t="s">
        <v>260</v>
      </c>
      <c r="C231" s="409"/>
      <c r="D231" s="267">
        <f>TRUNC(POWER(1+$C$223,-1),3)</f>
        <v>0.96399999999999997</v>
      </c>
      <c r="E231" s="267">
        <f>TRUNC(POWER(1+$C$223,-2),3)</f>
        <v>0.93</v>
      </c>
      <c r="F231" s="267">
        <f>TRUNC(POWER(1+$C$223,-3),3)</f>
        <v>0.89800000000000002</v>
      </c>
      <c r="G231" s="267">
        <f>TRUNC(POWER(1+$C$223,-4),3)</f>
        <v>0.86599999999999999</v>
      </c>
      <c r="H231" s="267">
        <f>TRUNC(POWER(1+$C$223,-5),3)</f>
        <v>0.83599999999999997</v>
      </c>
    </row>
    <row r="232" spans="2:9" s="245" customFormat="1">
      <c r="B232" s="259" t="s">
        <v>261</v>
      </c>
      <c r="C232" s="268">
        <f>SUM(D232:H232)</f>
        <v>634762139</v>
      </c>
      <c r="D232" s="260">
        <f>TRUNC(D227*D231)</f>
        <v>121750192</v>
      </c>
      <c r="E232" s="260">
        <f>TRUNC(E227*E231)</f>
        <v>124530199</v>
      </c>
      <c r="F232" s="260">
        <f>TRUNC(F227*F231)</f>
        <v>126927486</v>
      </c>
      <c r="G232" s="260">
        <f>TRUNC(G227*G231)</f>
        <v>129454391</v>
      </c>
      <c r="H232" s="260">
        <f>TRUNC(H227*H231)</f>
        <v>132099871</v>
      </c>
    </row>
    <row r="233" spans="2:9" s="245" customFormat="1">
      <c r="B233" s="259" t="s">
        <v>262</v>
      </c>
      <c r="C233" s="268">
        <f>SUM(D233:H233)</f>
        <v>3897780</v>
      </c>
      <c r="D233" s="269">
        <f>TRUNC(D229*D231)</f>
        <v>1315860</v>
      </c>
      <c r="E233" s="269">
        <f>TRUNC(E229*E231)</f>
        <v>952087</v>
      </c>
      <c r="F233" s="269">
        <f>TRUNC(F229*F231)</f>
        <v>827394</v>
      </c>
      <c r="G233" s="269">
        <f>TRUNC(G229*G231)</f>
        <v>465447</v>
      </c>
      <c r="H233" s="269">
        <f>TRUNC(H229*H231)</f>
        <v>336992</v>
      </c>
    </row>
    <row r="234" spans="2:9" s="245" customFormat="1" ht="19.5">
      <c r="B234" s="259" t="s">
        <v>263</v>
      </c>
      <c r="C234" s="270">
        <f>SUM(D234:H234)</f>
        <v>638659919</v>
      </c>
      <c r="D234" s="261">
        <f>TRUNC(D232+D233)</f>
        <v>123066052</v>
      </c>
      <c r="E234" s="261">
        <f>TRUNC(E232+E233)</f>
        <v>125482286</v>
      </c>
      <c r="F234" s="261">
        <f>TRUNC(F232+F233)</f>
        <v>127754880</v>
      </c>
      <c r="G234" s="261">
        <f>TRUNC(G232+G233)</f>
        <v>129919838</v>
      </c>
      <c r="H234" s="261">
        <f>TRUNC(H232+H233)</f>
        <v>132436863</v>
      </c>
    </row>
    <row r="235" spans="2:9" s="245" customFormat="1">
      <c r="B235" s="259" t="s">
        <v>264</v>
      </c>
      <c r="C235" s="261">
        <f>計算ワーク!D31*(-1)</f>
        <v>-15000000</v>
      </c>
    </row>
    <row r="236" spans="2:9" s="245" customFormat="1"/>
    <row r="237" spans="2:9" s="245" customFormat="1"/>
    <row r="238" spans="2:9" s="245" customFormat="1"/>
    <row r="239" spans="2:9" s="245" customFormat="1" ht="19.5" thickBot="1"/>
    <row r="240" spans="2:9" s="245" customFormat="1" ht="21.75" customHeight="1" thickBot="1">
      <c r="B240" s="250"/>
      <c r="D240" s="271" t="s">
        <v>265</v>
      </c>
      <c r="E240" s="441" t="str">
        <f>IF(C234&gt;ABS(C235),"投資に値する","投資に値しない")</f>
        <v>投資に値する</v>
      </c>
      <c r="F240" s="442"/>
    </row>
    <row r="241" spans="2:2" s="245" customFormat="1"/>
    <row r="242" spans="2:2" s="245" customFormat="1">
      <c r="B242" s="250" t="s">
        <v>266</v>
      </c>
    </row>
    <row r="243" spans="2:2" s="245" customFormat="1"/>
    <row r="244" spans="2:2" s="245" customFormat="1"/>
    <row r="245" spans="2:2" s="245" customFormat="1"/>
    <row r="246" spans="2:2" s="245" customFormat="1"/>
    <row r="247" spans="2:2" s="245" customFormat="1"/>
    <row r="248" spans="2:2" s="245" customFormat="1"/>
    <row r="249" spans="2:2" s="245" customFormat="1"/>
    <row r="250" spans="2:2" s="245" customFormat="1"/>
    <row r="251" spans="2:2" s="245" customFormat="1"/>
    <row r="252" spans="2:2" s="245" customFormat="1"/>
    <row r="253" spans="2:2" s="245" customFormat="1"/>
    <row r="254" spans="2:2" s="245" customFormat="1"/>
    <row r="255" spans="2:2" s="245" customFormat="1"/>
    <row r="256" spans="2:2" s="245" customFormat="1"/>
    <row r="257" spans="2:9" s="245" customFormat="1"/>
    <row r="258" spans="2:9" s="245" customFormat="1"/>
    <row r="259" spans="2:9" s="245" customFormat="1"/>
    <row r="260" spans="2:9" s="245" customFormat="1"/>
    <row r="261" spans="2:9" s="245" customFormat="1"/>
    <row r="262" spans="2:9" s="245" customFormat="1"/>
    <row r="263" spans="2:9" s="245" customFormat="1"/>
    <row r="264" spans="2:9" s="245" customFormat="1"/>
    <row r="265" spans="2:9" s="245" customFormat="1" ht="19.5" customHeight="1"/>
    <row r="266" spans="2:9" s="245" customFormat="1"/>
    <row r="267" spans="2:9" s="245" customFormat="1" ht="20.25" customHeight="1">
      <c r="D267" s="443" t="s">
        <v>267</v>
      </c>
      <c r="E267" s="443"/>
      <c r="F267" s="443"/>
    </row>
    <row r="268" spans="2:9" s="245" customFormat="1" ht="39.75" customHeight="1">
      <c r="D268" s="444">
        <v>0.14000000000000001</v>
      </c>
      <c r="E268" s="444"/>
      <c r="F268" s="444"/>
    </row>
    <row r="269" spans="2:9" s="245" customFormat="1"/>
    <row r="270" spans="2:9" s="245" customFormat="1"/>
    <row r="271" spans="2:9">
      <c r="B271" s="163" t="s">
        <v>268</v>
      </c>
    </row>
    <row r="272" spans="2:9" ht="13.5" customHeight="1">
      <c r="B272" s="434" t="s">
        <v>373</v>
      </c>
      <c r="C272" s="434"/>
      <c r="D272" s="434"/>
      <c r="E272" s="434"/>
      <c r="F272" s="434"/>
      <c r="G272" s="434"/>
      <c r="H272" s="434"/>
      <c r="I272" s="434"/>
    </row>
    <row r="273" spans="2:9">
      <c r="B273" s="434"/>
      <c r="C273" s="434"/>
      <c r="D273" s="434"/>
      <c r="E273" s="434"/>
      <c r="F273" s="434"/>
      <c r="G273" s="434"/>
      <c r="H273" s="434"/>
      <c r="I273" s="434"/>
    </row>
    <row r="274" spans="2:9">
      <c r="B274" s="434"/>
      <c r="C274" s="434"/>
      <c r="D274" s="434"/>
      <c r="E274" s="434"/>
      <c r="F274" s="434"/>
      <c r="G274" s="434"/>
      <c r="H274" s="434"/>
      <c r="I274" s="434"/>
    </row>
    <row r="275" spans="2:9">
      <c r="B275" s="434"/>
      <c r="C275" s="434"/>
      <c r="D275" s="434"/>
      <c r="E275" s="434"/>
      <c r="F275" s="434"/>
      <c r="G275" s="434"/>
      <c r="H275" s="434"/>
      <c r="I275" s="434"/>
    </row>
    <row r="276" spans="2:9">
      <c r="B276" s="434"/>
      <c r="C276" s="434"/>
      <c r="D276" s="434"/>
      <c r="E276" s="434"/>
      <c r="F276" s="434"/>
      <c r="G276" s="434"/>
      <c r="H276" s="434"/>
      <c r="I276" s="434"/>
    </row>
    <row r="277" spans="2:9">
      <c r="B277" s="434"/>
      <c r="C277" s="434"/>
      <c r="D277" s="434"/>
      <c r="E277" s="434"/>
      <c r="F277" s="434"/>
      <c r="G277" s="434"/>
      <c r="H277" s="434"/>
      <c r="I277" s="434"/>
    </row>
  </sheetData>
  <mergeCells count="18">
    <mergeCell ref="B272:I277"/>
    <mergeCell ref="B56:C56"/>
    <mergeCell ref="B66:C66"/>
    <mergeCell ref="B74:C74"/>
    <mergeCell ref="E84:I84"/>
    <mergeCell ref="B106:C106"/>
    <mergeCell ref="G143:L155"/>
    <mergeCell ref="B188:I194"/>
    <mergeCell ref="C226:C231"/>
    <mergeCell ref="E240:F240"/>
    <mergeCell ref="D267:F267"/>
    <mergeCell ref="D268:F268"/>
    <mergeCell ref="D53:H53"/>
    <mergeCell ref="A1:I2"/>
    <mergeCell ref="A13:A14"/>
    <mergeCell ref="B14:C14"/>
    <mergeCell ref="A36:A37"/>
    <mergeCell ref="B45:C45"/>
  </mergeCells>
  <phoneticPr fontId="2"/>
  <conditionalFormatting sqref="F156">
    <cfRule type="cellIs" dxfId="11" priority="14" operator="equal">
      <formula>I156</formula>
    </cfRule>
  </conditionalFormatting>
  <conditionalFormatting sqref="F156">
    <cfRule type="cellIs" dxfId="10" priority="13" operator="equal">
      <formula>J156</formula>
    </cfRule>
  </conditionalFormatting>
  <conditionalFormatting sqref="F147:F155">
    <cfRule type="cellIs" dxfId="9" priority="11" operator="equal">
      <formula>"↓"</formula>
    </cfRule>
    <cfRule type="cellIs" dxfId="8" priority="12" operator="equal">
      <formula>"↑"</formula>
    </cfRule>
  </conditionalFormatting>
  <conditionalFormatting sqref="E122:E123">
    <cfRule type="cellIs" dxfId="7" priority="9" operator="equal">
      <formula>"NG"</formula>
    </cfRule>
    <cfRule type="cellIs" dxfId="6" priority="10" operator="equal">
      <formula>"OK"</formula>
    </cfRule>
  </conditionalFormatting>
  <conditionalFormatting sqref="E124">
    <cfRule type="cellIs" dxfId="5" priority="7" operator="equal">
      <formula>"NG"</formula>
    </cfRule>
    <cfRule type="cellIs" dxfId="4" priority="8" operator="equal">
      <formula>"OK"</formula>
    </cfRule>
  </conditionalFormatting>
  <conditionalFormatting sqref="F202">
    <cfRule type="cellIs" dxfId="3" priority="5" operator="equal">
      <formula>"NG"</formula>
    </cfRule>
    <cfRule type="cellIs" dxfId="2" priority="6" operator="equal">
      <formula>"OK"</formula>
    </cfRule>
  </conditionalFormatting>
  <conditionalFormatting sqref="F203">
    <cfRule type="cellIs" dxfId="1" priority="1" operator="equal">
      <formula>"NG"</formula>
    </cfRule>
    <cfRule type="cellIs" dxfId="0" priority="2" operator="equal">
      <formula>"OK"</formula>
    </cfRule>
  </conditionalFormatting>
  <hyperlinks>
    <hyperlink ref="B82" r:id="rId1" xr:uid="{00000000-0004-0000-0200-000000000000}"/>
    <hyperlink ref="B83" r:id="rId2" xr:uid="{00000000-0004-0000-0200-000001000000}"/>
  </hyperlinks>
  <pageMargins left="0.70866141732283472" right="0.11811023622047245" top="0.35433070866141736" bottom="0.35433070866141736" header="0.31496062992125984" footer="0.31496062992125984"/>
  <pageSetup paperSize="8" scale="63" fitToHeight="0" orientation="portrait" cellComments="asDisplayed" r:id="rId3"/>
  <drawing r:id="rId4"/>
  <legacyDrawing r:id="rId5"/>
  <controls>
    <mc:AlternateContent xmlns:mc="http://schemas.openxmlformats.org/markup-compatibility/2006">
      <mc:Choice Requires="x14">
        <control shapeId="2049" r:id="rId6" name="cmd回収期間">
          <controlPr defaultSize="0" autoLine="0" r:id="rId7">
            <anchor moveWithCells="1">
              <from>
                <xdr:col>3</xdr:col>
                <xdr:colOff>38100</xdr:colOff>
                <xdr:row>267</xdr:row>
                <xdr:rowOff>47625</xdr:rowOff>
              </from>
              <to>
                <xdr:col>3</xdr:col>
                <xdr:colOff>638175</xdr:colOff>
                <xdr:row>267</xdr:row>
                <xdr:rowOff>485775</xdr:rowOff>
              </to>
            </anchor>
          </controlPr>
        </control>
      </mc:Choice>
      <mc:Fallback>
        <control shapeId="2049" r:id="rId6" name="cmd回収期間"/>
      </mc:Fallback>
    </mc:AlternateContent>
  </controls>
  <extLst>
    <ext xmlns:x14="http://schemas.microsoft.com/office/spreadsheetml/2009/9/main" uri="{05C60535-1F16-4fd2-B633-F4F36F0B64E0}">
      <x14:sparklineGroups xmlns:xm="http://schemas.microsoft.com/office/excel/2006/main">
        <x14:sparklineGroup manualMax="0" manualMin="0" displayEmptyCellsAs="span" xr2:uid="{00000000-0003-0000-0200-000001000000}">
          <x14:colorSeries rgb="FF376092"/>
          <x14:colorNegative rgb="FFD00000"/>
          <x14:colorAxis rgb="FF000000"/>
          <x14:colorMarkers rgb="FFD00000"/>
          <x14:colorFirst rgb="FFD00000"/>
          <x14:colorLast rgb="FFD00000"/>
          <x14:colorHigh rgb="FFD00000"/>
          <x14:colorLow rgb="FFD00000"/>
          <x14:sparklines>
            <x14:sparkline>
              <xm:f>計算ワーク!C184:H184</xm:f>
              <xm:sqref>I184</xm:sqref>
            </x14:sparkline>
            <x14:sparkline>
              <xm:f>計算ワーク!C185:H185</xm:f>
              <xm:sqref>I185</xm:sqref>
            </x14:sparkline>
            <x14:sparkline>
              <xm:f>計算ワーク!C186:H186</xm:f>
              <xm:sqref>I186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1"/>
  <sheetViews>
    <sheetView workbookViewId="0">
      <selection activeCell="D52" sqref="D52"/>
    </sheetView>
  </sheetViews>
  <sheetFormatPr defaultRowHeight="18.75"/>
  <sheetData>
    <row r="1" spans="1:6">
      <c r="A1" t="s">
        <v>305</v>
      </c>
      <c r="B1" s="337">
        <v>34409.199999999997</v>
      </c>
    </row>
    <row r="2" spans="1:6">
      <c r="A2" t="s">
        <v>306</v>
      </c>
      <c r="B2" s="337">
        <v>14746.8</v>
      </c>
    </row>
    <row r="10" spans="1:6">
      <c r="B10" t="s">
        <v>318</v>
      </c>
      <c r="C10" t="s">
        <v>319</v>
      </c>
      <c r="D10" t="s">
        <v>320</v>
      </c>
      <c r="E10" t="s">
        <v>321</v>
      </c>
      <c r="F10" t="s">
        <v>322</v>
      </c>
    </row>
    <row r="11" spans="1:6">
      <c r="A11" t="s">
        <v>315</v>
      </c>
      <c r="B11">
        <v>400</v>
      </c>
      <c r="C11">
        <v>132.69999999999999</v>
      </c>
      <c r="D11">
        <v>57.3</v>
      </c>
      <c r="E11">
        <v>70.400000000000006</v>
      </c>
      <c r="F11">
        <v>139.6</v>
      </c>
    </row>
  </sheetData>
  <phoneticPr fontId="2"/>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ﾃﾝﾌﾟﾚｰﾄ</vt:lpstr>
      <vt:lpstr>作文結果</vt:lpstr>
      <vt:lpstr>計算ワーク</vt:lpstr>
      <vt:lpstr>ｸﾞﾗﾌﾜｰｸ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tc-0303-04</dc:creator>
  <cp:lastModifiedBy>user02</cp:lastModifiedBy>
  <cp:lastPrinted>2019-07-30T00:30:46Z</cp:lastPrinted>
  <dcterms:created xsi:type="dcterms:W3CDTF">2019-03-21T08:45:17Z</dcterms:created>
  <dcterms:modified xsi:type="dcterms:W3CDTF">2019-11-01T07:23:29Z</dcterms:modified>
</cp:coreProperties>
</file>